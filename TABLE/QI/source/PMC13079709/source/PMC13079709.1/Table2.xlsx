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ugedugh-my.sharepoint.com/personal/akusi_noguchi_ug_edu_gh/Documents/Documents/Projects/Research/PhDs &amp; Post-Docs/Gloria Manu/2026 files/Post review/"/>
    </mc:Choice>
  </mc:AlternateContent>
  <xr:revisionPtr revIDLastSave="0" documentId="8_{EEA7CEA2-7998-427F-9400-9C38D6BCBA78}" xr6:coauthVersionLast="47" xr6:coauthVersionMax="47" xr10:uidLastSave="{00000000-0000-0000-0000-000000000000}"/>
  <bookViews>
    <workbookView xWindow="-120" yWindow="-120" windowWidth="29040" windowHeight="15720" tabRatio="573" xr2:uid="{00000000-000D-0000-FFFF-FFFF00000000}"/>
  </bookViews>
  <sheets>
    <sheet name="NEW EXTRACTION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3" i="11" l="1"/>
  <c r="I43" i="11"/>
</calcChain>
</file>

<file path=xl/sharedStrings.xml><?xml version="1.0" encoding="utf-8"?>
<sst xmlns="http://schemas.openxmlformats.org/spreadsheetml/2006/main" count="711" uniqueCount="561">
  <si>
    <t>42 (31-70)</t>
  </si>
  <si>
    <t>31 (25- 37)</t>
  </si>
  <si>
    <t>47 (34-62)</t>
  </si>
  <si>
    <t>35.45 ±14.97</t>
  </si>
  <si>
    <t>44.7 ±12.3</t>
  </si>
  <si>
    <t>40 ±15.5</t>
  </si>
  <si>
    <t>37 (26-53)</t>
  </si>
  <si>
    <t>62 (53.5-68)</t>
  </si>
  <si>
    <t>64.5 ± 11.5 (34-83)</t>
  </si>
  <si>
    <t>35 (13–78</t>
  </si>
  <si>
    <t>(20-86)</t>
  </si>
  <si>
    <t>(32-88)</t>
  </si>
  <si>
    <t>(18-73)</t>
  </si>
  <si>
    <t>≤ 9</t>
  </si>
  <si>
    <t>KEY FINDING</t>
  </si>
  <si>
    <t>Mild vs Severe COVID-19; Healthy controls; Severe survivors vs deceased</t>
  </si>
  <si>
    <t>Comparator group: Thailand cohort; PLHIV vs HIV-negative</t>
  </si>
  <si>
    <t>Genetic Method: TaqMan real-time PCR genotyping</t>
  </si>
  <si>
    <t>SNPs: ACE2 rs2285666; TMPRSS2 rs12329760</t>
  </si>
  <si>
    <t>Polymorphism: ACE2 S19P (rs73635825)</t>
  </si>
  <si>
    <t>STUDY</t>
  </si>
  <si>
    <t>COUNTRY</t>
  </si>
  <si>
    <t>DESIGN</t>
  </si>
  <si>
    <t>SAMPLE SIZE</t>
  </si>
  <si>
    <t>POPULATION</t>
  </si>
  <si>
    <t>DISEASE CATEGORY</t>
  </si>
  <si>
    <t>ASSAY</t>
  </si>
  <si>
    <t>IMMUNE TYPE</t>
  </si>
  <si>
    <t>NEUTRALIZATION</t>
  </si>
  <si>
    <t>T-CELL DATA</t>
  </si>
  <si>
    <t>RISK OF BIAS</t>
  </si>
  <si>
    <t>TIMING</t>
  </si>
  <si>
    <t>Acute phase (&lt;7 days), with partial longitudinal follow-up</t>
  </si>
  <si>
    <t>Assays: cPass neutralization; Spike &amp; N ELISA; Whole-blood cytokine assay; ELISPOT; Flow cytometry</t>
  </si>
  <si>
    <t>Genetic targets: ACE2 G8790A (rs2285666 as referenced) and IL-22 rs1179251</t>
  </si>
  <si>
    <t>Genes/SNPs: ACE2 (rs2285666), TMPRSS2 (rs12329760), NRP1 (rs10080), CD147 (rs8259)</t>
  </si>
  <si>
    <t>Comparator group: Asymptomatic vs symptomatic; healthy pre-COVID controls; ABO controls</t>
  </si>
  <si>
    <t>Timing of sampling: Pre-pandemic 2012–2019 (Sweden), 2018 (Kenya); COVID cases 2020–2022</t>
  </si>
  <si>
    <t>Comparator Groups: Reinfection status, serostatus, vaccination, wave, site, treatment arm</t>
  </si>
  <si>
    <t>Key Findings: Durable IgG/IgA up to 12 months; Omicron showed strongest immune escape; IgG/IgA levels predictive of protection; Prior exposure and vaccination dominant determinants</t>
  </si>
  <si>
    <t>Assays: Spike/N ELISA; lentiviral pseudotype neutralization; nasal IgA (MSD); IFN-γ ELISpot</t>
  </si>
  <si>
    <t>Variants: B.1, Alpha, Beta, Delta, Omicron BA.1, BA.2</t>
  </si>
  <si>
    <t>Loci: HLA-A, B, C, DRB1, DQA1, DQB1</t>
  </si>
  <si>
    <t>Number</t>
  </si>
  <si>
    <t xml:space="preserve"> Borrega et al., 2021</t>
  </si>
  <si>
    <t xml:space="preserve"> Serwanga et al., 2023</t>
  </si>
  <si>
    <t xml:space="preserve"> Aguilar et al., 2024</t>
  </si>
  <si>
    <t xml:space="preserve"> Gaber et al., 2024</t>
  </si>
  <si>
    <t xml:space="preserve"> Nantambi et al., 2023</t>
  </si>
  <si>
    <t xml:space="preserve"> Tufa et al., 2022</t>
  </si>
  <si>
    <t xml:space="preserve"> Goda et al., 2023</t>
  </si>
  <si>
    <t xml:space="preserve"> Cherif et al., 2024</t>
  </si>
  <si>
    <t xml:space="preserve"> Tapela et al., 2024</t>
  </si>
  <si>
    <t xml:space="preserve"> Mostafa et al., 2021</t>
  </si>
  <si>
    <t xml:space="preserve"> Bnina et al., 2023</t>
  </si>
  <si>
    <t xml:space="preserve"> Akanmu et al., 2023</t>
  </si>
  <si>
    <t xml:space="preserve"> Fai et al., 2021</t>
  </si>
  <si>
    <t xml:space="preserve"> Samandari et al., 2023</t>
  </si>
  <si>
    <t xml:space="preserve"> Morton et al., 2021</t>
  </si>
  <si>
    <t xml:space="preserve"> Tah et al., 2023</t>
  </si>
  <si>
    <t xml:space="preserve"> Adimulam et al., 2023</t>
  </si>
  <si>
    <t xml:space="preserve"> Duah-Quashie et al., 2024</t>
  </si>
  <si>
    <t xml:space="preserve"> Kato et al., 2023</t>
  </si>
  <si>
    <t xml:space="preserve"> van Rooyen et al., 2023</t>
  </si>
  <si>
    <t xml:space="preserve"> Ugwu et al., 2024</t>
  </si>
  <si>
    <t xml:space="preserve"> Tapela et al., 2022</t>
  </si>
  <si>
    <t xml:space="preserve"> Konlaan et al., 2022</t>
  </si>
  <si>
    <t xml:space="preserve"> Pedersen et al., 2022</t>
  </si>
  <si>
    <t xml:space="preserve"> Ackah et al., 2024</t>
  </si>
  <si>
    <t xml:space="preserve"> Tso et al., 2021</t>
  </si>
  <si>
    <t xml:space="preserve"> Souris et al., 2022</t>
  </si>
  <si>
    <t xml:space="preserve"> Adeniyi et al., 2023</t>
  </si>
  <si>
    <t xml:space="preserve"> Namuniina et al., 2023</t>
  </si>
  <si>
    <t xml:space="preserve"> Wanjiku et al., 2026</t>
  </si>
  <si>
    <t xml:space="preserve"> de Rioja et al., 2026</t>
  </si>
  <si>
    <t xml:space="preserve"> Bhiman et al., 2025</t>
  </si>
  <si>
    <t xml:space="preserve"> Jagne et al., 2025</t>
  </si>
  <si>
    <t xml:space="preserve"> Müller et al., 2025</t>
  </si>
  <si>
    <t xml:space="preserve"> McCormack et al., 2025</t>
  </si>
  <si>
    <t xml:space="preserve"> Abdelhafiz et al., 2021</t>
  </si>
  <si>
    <t xml:space="preserve"> Ndoricyimpaye et al., 2023</t>
  </si>
  <si>
    <t xml:space="preserve"> Li et al., 2022</t>
  </si>
  <si>
    <t xml:space="preserve"> Elnagdy et al., 2024</t>
  </si>
  <si>
    <t xml:space="preserve"> Egypt</t>
  </si>
  <si>
    <t xml:space="preserve"> Rwanda</t>
  </si>
  <si>
    <t xml:space="preserve"> Kenya, Nigeria, Tanzania, Uganda (Africa); Thailand comparator</t>
  </si>
  <si>
    <t xml:space="preserve"> Sierra Leone (USA COVID-19 subjects + USA healthy donors comparator)</t>
  </si>
  <si>
    <t xml:space="preserve"> Uganda</t>
  </si>
  <si>
    <t xml:space="preserve"> Ghana, Mozambique, Spain</t>
  </si>
  <si>
    <t xml:space="preserve"> Ethiopia</t>
  </si>
  <si>
    <t xml:space="preserve"> Tunisia</t>
  </si>
  <si>
    <t xml:space="preserve"> Ghana</t>
  </si>
  <si>
    <t xml:space="preserve"> Nigeria (Lagos State)</t>
  </si>
  <si>
    <t xml:space="preserve"> Cameroon</t>
  </si>
  <si>
    <t xml:space="preserve"> Kenya (Kisumu, Elgeyo Marakwet); Singapore comparator</t>
  </si>
  <si>
    <t xml:space="preserve"> Malawi</t>
  </si>
  <si>
    <t xml:space="preserve"> Cameroon (Yaounde)</t>
  </si>
  <si>
    <t xml:space="preserve"> South Africa (African, South Asian, European cohorts)</t>
  </si>
  <si>
    <t xml:space="preserve"> South Africa</t>
  </si>
  <si>
    <t xml:space="preserve"> Nigeria (Southern Nigeria)</t>
  </si>
  <si>
    <t xml:space="preserve"> Ghana (Ashanti Region; Kumasi)</t>
  </si>
  <si>
    <t xml:space="preserve"> Gabon; Senegal</t>
  </si>
  <si>
    <t xml:space="preserve"> Ghana (Kumasi)</t>
  </si>
  <si>
    <t xml:space="preserve"> USA and sub-Saharan Africa</t>
  </si>
  <si>
    <t xml:space="preserve"> DRC, Republic of Congo, Cameroon, Senegal (France comparator)</t>
  </si>
  <si>
    <t xml:space="preserve"> South Africa (Eastern Cape)</t>
  </si>
  <si>
    <t xml:space="preserve"> Ghana, DRC, Ethiopia, Mozambique</t>
  </si>
  <si>
    <t xml:space="preserve"> The Gambia</t>
  </si>
  <si>
    <t xml:space="preserve"> Malawi (Karonga – rural; Lilongwe – urban)</t>
  </si>
  <si>
    <t xml:space="preserve"> Tanzania, Zambia (USA comparator)</t>
  </si>
  <si>
    <t xml:space="preserve"> Cross-sectional</t>
  </si>
  <si>
    <t xml:space="preserve"> Prospective longitudinal cohort</t>
  </si>
  <si>
    <t xml:space="preserve"> Multinational cross-sectional serological analysis</t>
  </si>
  <si>
    <t xml:space="preserve"> Cross-sectional genetic association study</t>
  </si>
  <si>
    <t xml:space="preserve"> Cross-sectional multi-cohort serological study</t>
  </si>
  <si>
    <t xml:space="preserve"> Prospective cross-sectional</t>
  </si>
  <si>
    <t xml:space="preserve"> Retrospective cross-sectional</t>
  </si>
  <si>
    <t xml:space="preserve"> Comparative cross-sectional</t>
  </si>
  <si>
    <t xml:space="preserve"> Prospective longitudinal</t>
  </si>
  <si>
    <t xml:space="preserve"> Observational cohort (cross-sectional + partial longitudinal)</t>
  </si>
  <si>
    <t xml:space="preserve"> Cross-sectional pilot study</t>
  </si>
  <si>
    <t xml:space="preserve"> Retrospective cross-sectional genetic association</t>
  </si>
  <si>
    <t xml:space="preserve"> Observational cohort (cross-sectional + prospective follow-up)</t>
  </si>
  <si>
    <t xml:space="preserve"> Cross-sectional seroprevalence study</t>
  </si>
  <si>
    <t xml:space="preserve"> Prospective cohort</t>
  </si>
  <si>
    <t xml:space="preserve"> Case-control genetic association study</t>
  </si>
  <si>
    <t xml:space="preserve"> Observational genetic association study</t>
  </si>
  <si>
    <t xml:space="preserve"> Cross-sectional genetic study</t>
  </si>
  <si>
    <t xml:space="preserve"> Case–control</t>
  </si>
  <si>
    <t xml:space="preserve"> Observational cohort (cross-sectional immune profiling across waves)</t>
  </si>
  <si>
    <t xml:space="preserve"> Mixed cross-sectional + longitudinal</t>
  </si>
  <si>
    <t xml:space="preserve"> Cross-sectional pre-pandemic serological study with functional assays</t>
  </si>
  <si>
    <t xml:space="preserve"> Cross-sectional laboratory immunology study</t>
  </si>
  <si>
    <t xml:space="preserve"> Cross-sectional (pre-pandemic serology)</t>
  </si>
  <si>
    <t xml:space="preserve"> Pilot cross-sectional AIM flow cytometry study (stored PBMC)</t>
  </si>
  <si>
    <t xml:space="preserve"> Cross-sectional immunological analysis</t>
  </si>
  <si>
    <t xml:space="preserve"> Prospective 12-month longitudinal cohort (ANTICOV–IMMUNO)</t>
  </si>
  <si>
    <t xml:space="preserve"> Population-based cross-sectional serosurvey with longitudinal monthly comparison</t>
  </si>
  <si>
    <t xml:space="preserve"> Prospective household cohort (baseline cross-sectional immune analysis)</t>
  </si>
  <si>
    <t xml:space="preserve"> Prospective longitudinal cohort with integrated immune–RAS biomarker analysis</t>
  </si>
  <si>
    <t xml:space="preserve"> Longitudinal population-based serosurveillance cohort</t>
  </si>
  <si>
    <t xml:space="preserve"> 1,876 participants</t>
  </si>
  <si>
    <t xml:space="preserve"> 197 COVID-19 patients (129 mild, 68 severe) + 20 healthy controls</t>
  </si>
  <si>
    <t xml:space="preserve"> 2,565 samples (2,250 participants)</t>
  </si>
  <si>
    <t xml:space="preserve"> 120 pre-pandemic Sierra Leone samples; 27 USA COVID-19; 79 USA healthy donors (neutralization tested in subsets: 47 for SARS-CoV-2; 30 for MERS-CoV)</t>
  </si>
  <si>
    <t xml:space="preserve"> 320 cases (+104 PCR-negative controls)</t>
  </si>
  <si>
    <t xml:space="preserve"> 234 (114 COVID-19; 120 controls)</t>
  </si>
  <si>
    <t xml:space="preserve"> 110 (104 PBMC for ELISpot)</t>
  </si>
  <si>
    <t xml:space="preserve"> 137 (70 with ≥3 samples)</t>
  </si>
  <si>
    <t xml:space="preserve"> 217 SARS-CoV-2 positive; 74 controls</t>
  </si>
  <si>
    <t xml:space="preserve"> 20 SARS-CoV-2 patients; 20 healthy controls</t>
  </si>
  <si>
    <t xml:space="preserve"> 42 ICU patients</t>
  </si>
  <si>
    <t xml:space="preserve"> 250 (HCW=134; Vaccine cohort=116)</t>
  </si>
  <si>
    <t xml:space="preserve"> 1,192 study visits (999 antibody-tested)</t>
  </si>
  <si>
    <t xml:space="preserve"> 80 (Kenya); 13 pre-pandemic; 36 convalescent comparator</t>
  </si>
  <si>
    <t xml:space="preserve"> 87 SARI (41 PCR+, 25 PCR−/IgG+, 21 PCR−/IgG−) + 25 healthy</t>
  </si>
  <si>
    <t xml:space="preserve"> 331 (157 COVID-19 positive; 174 controls)</t>
  </si>
  <si>
    <t xml:space="preserve"> 144 (61 longitudinal subset)</t>
  </si>
  <si>
    <t xml:space="preserve"> 95 (Active 35; Recovered 30; Unexposed 30)</t>
  </si>
  <si>
    <t xml:space="preserve"> 23 (20 COVID-19/exposed; 3 controls)</t>
  </si>
  <si>
    <t xml:space="preserve"> 1,655 (Africa); 189 (France control)</t>
  </si>
  <si>
    <t xml:space="preserve"> 390 (202 follow-up)</t>
  </si>
  <si>
    <t xml:space="preserve"> 29 pre-pandemic; 3 hospitalized COVID+ controls</t>
  </si>
  <si>
    <t xml:space="preserve"> 79 Kenyan pre-COVID adults; 18 Swedish pre-COVID adults; 10 Kenyan infants; 37 Kenyan COVID-19 adults</t>
  </si>
  <si>
    <t xml:space="preserve"> 513 adults (serology cohort)</t>
  </si>
  <si>
    <t xml:space="preserve"> 649 tested for neutralization (from 13,640 total sera)</t>
  </si>
  <si>
    <t xml:space="preserve"> 349 unvaccinated individuals (266 with T-cell data)</t>
  </si>
  <si>
    <t xml:space="preserve"> 172 (196 recruited)</t>
  </si>
  <si>
    <t xml:space="preserve"> Adults ≥18; pre-pandemic plasma; HIV status assessed</t>
  </si>
  <si>
    <t xml:space="preserve"> Hospitalized PCR-confirmed COVID-19 patients (July–September 2020); moderate and severe cases</t>
  </si>
  <si>
    <t xml:space="preserve"> Adults; majority PLHIV; pre-pandemic archived plasma/serum</t>
  </si>
  <si>
    <t xml:space="preserve"> PCR-confirmed COVID-19 patients; mild vs severe; median age 43; both sexes included</t>
  </si>
  <si>
    <t xml:space="preserve"> Pre-pandemic plasma/serum from Lassa fever and Ebola survivors and contacts (Sept 2016–Apr 2019); no age/sex effect on seroreactivity</t>
  </si>
  <si>
    <t xml:space="preserve"> Prepandemic African (malaria exposed/infected), European controls, post-SARS-CoV-2 infected individuals</t>
  </si>
  <si>
    <t xml:space="preserve"> Adults 32–88 years; hospitalized SARS-CoV-2 patients; matched controls</t>
  </si>
  <si>
    <t xml:space="preserve"> Pre-pandemic adults; HIV-negative and HIV-positive; samples collected 2009–2015</t>
  </si>
  <si>
    <t xml:space="preserve"> Adults ≥18; hospitalized; unvaccinated; sampled within 24h of admission</t>
  </si>
  <si>
    <t xml:space="preserve"> RT-PCR confirmed adults (16–60 yrs); severity stratified; 6-month follow-up</t>
  </si>
  <si>
    <t xml:space="preserve"> IPT employees; mean age 44.7 yrs; 75% female; mostly mild COVID-19</t>
  </si>
  <si>
    <t xml:space="preserve"> PCR-confirmed COVID-19; asymptomatic (62) vs symptomatic (155); malaria exposure assessed</t>
  </si>
  <si>
    <t xml:space="preserve"> Pediatric patients (6 months–15 years); 12 males, 8 females; moderate (8) vs severe (12); MIS-C included</t>
  </si>
  <si>
    <t xml:space="preserve"> Mean age 64.5 ± 11.5 yrs; 27 males, 15 females; all severe COVID-19; 76% mortality</t>
  </si>
  <si>
    <t xml:space="preserve"> Healthcare workers and general population vaccine recipients; some PCR-confirmed prior infection</t>
  </si>
  <si>
    <t xml:space="preserve"> Hospitalised adults ≥18 with SARI; HIV assessed</t>
  </si>
  <si>
    <t xml:space="preserve"> Mean age 35.45 ± 14.97; 136 males, 195 females; cases antigen+ confirmed by qPCR; controls COVID-test negative</t>
  </si>
  <si>
    <t xml:space="preserve"> Adults ≥18; PCR-confirmed SARS-CoV-2; severity stratified</t>
  </si>
  <si>
    <t xml:space="preserve"> Children ≤9 years; uncomplicated malaria; three ethnic groups</t>
  </si>
  <si>
    <t xml:space="preserve"> Adults; RT-PCR confirmed SARS-CoV-2; asymptomatic, mild, severe; healthy controls</t>
  </si>
  <si>
    <t xml:space="preserve"> Adult laboratory employees; mild COVID-19 predominant</t>
  </si>
  <si>
    <t xml:space="preserve"> PCR-confirmed SARS-CoV-2; median age 35; 49% male; asymptomatic vs symptomatic vs non-survivors</t>
  </si>
  <si>
    <t xml:space="preserve"> Unvaccinated adults 18–69; Active cases mild; chronic inflammatory conditions excluded</t>
  </si>
  <si>
    <t xml:space="preserve"> Pre-pandemic sera; Gabon adults (18–50); Senegal mixed age (0–75)</t>
  </si>
  <si>
    <t xml:space="preserve"> Suspected COVID-19 patients; 55.9% male; median age 37 (IQR 26–53)</t>
  </si>
  <si>
    <t xml:space="preserve"> Adults 22–85 years; symptomatic, hospitalized, convalescent, and asymptomatic; both sexes</t>
  </si>
  <si>
    <t xml:space="preserve"> RT-PCR confirmed HCWs; 85% female; 83% Black; high obesity prevalence</t>
  </si>
  <si>
    <t xml:space="preserve"> Pre-pandemic PBMC samples; Kenyan adults median 31 yrs (29% male); Swedish adults median 33 yrs (5% male); COVID adults median 43 yrs (49% male); vaccine-naïve</t>
  </si>
  <si>
    <t xml:space="preserve"> Mean age 37.5 ± 13.2 yrs; 259 females (50.5%), 254 males (49.5%); 94.7% mild–moderate COVID-19; 5.3% asymptomatic; 20.1% comorbidities; 23.6% reinfection during follow-up</t>
  </si>
  <si>
    <t xml:space="preserve"> ≥12 yrs; 60.7% female; 89.2% Black African; largely mild/asymptomatic; unvaccinated</t>
  </si>
  <si>
    <t xml:space="preserve"> Mean age 47±13 yrs; 58.7% female; unvaccinated; full severity spectrum; 9.9% mortality</t>
  </si>
  <si>
    <t xml:space="preserve"> Median age 21.2 yrs (rural), 26.7 yrs (urban); 50–61.8% female; 3.8–6.5% HIV-positive</t>
  </si>
  <si>
    <t xml:space="preserve"> Severity comparison (Moderate vs Severe; Mortality analysis)</t>
  </si>
  <si>
    <t xml:space="preserve"> Active infection; Mild vs Severe; mortality subgroup analysis</t>
  </si>
  <si>
    <t xml:space="preserve"> Pre-pandemic</t>
  </si>
  <si>
    <t xml:space="preserve"> Severity comparison</t>
  </si>
  <si>
    <t xml:space="preserve"> Mild vs Asymptomatic; longitudinal convalescent follow-up</t>
  </si>
  <si>
    <t xml:space="preserve"> Pre-pandemic cross-reactivity / assay performance</t>
  </si>
  <si>
    <t xml:space="preserve"> Active COVID-19; Severity comparison</t>
  </si>
  <si>
    <t xml:space="preserve"> Convalescent COVID-19; Severity comparison</t>
  </si>
  <si>
    <t xml:space="preserve"> Natural infection; convalescent longitudinal follow-up</t>
  </si>
  <si>
    <t xml:space="preserve"> Active infection (severity comparison)</t>
  </si>
  <si>
    <t xml:space="preserve"> Active infection (COVID-19 &amp; MIS-C; severity comparison)</t>
  </si>
  <si>
    <t xml:space="preserve"> Critical COVID-19 (mortality &amp; intubation outcomes)</t>
  </si>
  <si>
    <t xml:space="preserve"> Natural infection, seroprevalence, vaccine response, pre-existing immunity</t>
  </si>
  <si>
    <t xml:space="preserve"> Natural infection; seroprevalence; antibody kinetics</t>
  </si>
  <si>
    <t xml:space="preserve"> Asymptomatic post-pandemic exposure</t>
  </si>
  <si>
    <t xml:space="preserve"> Severe COVID-19 vs non-COVID SARI</t>
  </si>
  <si>
    <t xml:space="preserve"> Susceptibility + clinical features (symptomatic vs asymptomatic)</t>
  </si>
  <si>
    <t xml:space="preserve"> COVID-19 positive (severity analysis)</t>
  </si>
  <si>
    <t xml:space="preserve"> Genetic susceptibility (ACE/ACE2 polymorphisms)</t>
  </si>
  <si>
    <t xml:space="preserve"> COVID-19 severity comparison</t>
  </si>
  <si>
    <t xml:space="preserve"> Prior infection vs presumed uninfected</t>
  </si>
  <si>
    <t xml:space="preserve"> Convalescent, asymptomatic exposed, vaccinated, pre-pandemic</t>
  </si>
  <si>
    <t xml:space="preserve"> Acute infection (severity comparison)</t>
  </si>
  <si>
    <t xml:space="preserve"> Active (mild) vs Recovered vs Unexposed controls</t>
  </si>
  <si>
    <t xml:space="preserve"> Acute COVID-19 (severity stratified)</t>
  </si>
  <si>
    <t xml:space="preserve"> Acute and convalescent COVID-19</t>
  </si>
  <si>
    <t xml:space="preserve"> Post-infection (natural immunity)</t>
  </si>
  <si>
    <t xml:space="preserve"> Pre-pandemic cross-reactive cellular immunity</t>
  </si>
  <si>
    <t xml:space="preserve"> Pre-pandemic (primary); COVID-19 positive controls</t>
  </si>
  <si>
    <t xml:space="preserve"> Asymptomatic to mild/moderate COVID-19</t>
  </si>
  <si>
    <t xml:space="preserve"> Post–first wave, pre-vaccine, Beta transition period</t>
  </si>
  <si>
    <t xml:space="preserve"> Community SARS-CoV-2 exposure (mild/asymptomatic)</t>
  </si>
  <si>
    <t xml:space="preserve"> COVID-19 severity &amp; mortality prediction</t>
  </si>
  <si>
    <t xml:space="preserve"> Community SARS-CoV-2 infection; post-infection and post-vaccination immunity</t>
  </si>
  <si>
    <t xml:space="preserve"> Flow cytometry, intracellular cytokine staining, ELISA</t>
  </si>
  <si>
    <t xml:space="preserve"> Flow cytometry</t>
  </si>
  <si>
    <t xml:space="preserve"> PCR-SSO HLA genotyping</t>
  </si>
  <si>
    <t xml:space="preserve"> Virion-based Western blot; whole blood N-stimulation IFN-γ ELISA</t>
  </si>
  <si>
    <t xml:space="preserve"> Innovita rapid IgM/IgG lateral flow test</t>
  </si>
  <si>
    <t xml:space="preserve"> RT-qPCR; IgG ELISA; 38-plex Luminex; nasal flow cytometry</t>
  </si>
  <si>
    <t xml:space="preserve"> PCR-RFLP genotyping; Chelex DNA extraction from dried blood spots</t>
  </si>
  <si>
    <t xml:space="preserve"> TaqMan SNP genotyping; digital PCR viral load; ddPCR gene expression</t>
  </si>
  <si>
    <t xml:space="preserve"> PCR genotyping + Sanger sequencing</t>
  </si>
  <si>
    <t xml:space="preserve"> ELISA (cytokine and biochemical biomarker profiling)</t>
  </si>
  <si>
    <t xml:space="preserve"> In-house flow cytometric T-cell proliferation (Ki-67)</t>
  </si>
  <si>
    <t xml:space="preserve"> ELISA (S-RBD &amp; N IgG); pseudotype neutralization; IFN-γ ELISpot</t>
  </si>
  <si>
    <t xml:space="preserve"> Luminex 25-plex cytokine panel; Luminex IgG antibody assay; ABO agglutination</t>
  </si>
  <si>
    <t xml:space="preserve"> CBC (Sysmex XN-1500) + plasma cytokine ELISA</t>
  </si>
  <si>
    <t xml:space="preserve"> ELISA (IgG S and N), microneutralization, mouse IgG transfer challenge</t>
  </si>
  <si>
    <t xml:space="preserve"> RT-qPCR (ORF1ab &amp; N genes); CBC; ABO/Rh typing; ELISA for plasma ACE2</t>
  </si>
  <si>
    <t xml:space="preserve"> Immunofluorescence assay (IgG binding); Spike-pseudovirus neutralization assay; Calcein-release ADCC assay</t>
  </si>
  <si>
    <t xml:space="preserve"> Multiplex ELISA (CoViDiag®)</t>
  </si>
  <si>
    <t xml:space="preserve"> Abbott ARCHITECT chemiluminescent immunoassay</t>
  </si>
  <si>
    <t xml:space="preserve"> AIM assay + flow cytometry (CD4 OX40+CD137+; CD8 CD69+CD137+)</t>
  </si>
  <si>
    <t xml:space="preserve"> IFN-γ ELISpot; Intracellular cytokine staining with flow cytometry</t>
  </si>
  <si>
    <t xml:space="preserve"> Multiplex Luminex IgA/IgG/IgM (24 isotype–antigen combinations); ACE2-S1 surrogate neutralization assay; AIM flow cytometry for CD4+ and CD8+ T cells; Spike-tetramer B-cell phenotyping</t>
  </si>
  <si>
    <t xml:space="preserve"> Abbott CMIA (anti-N), Spike ELISA, Lentiviral pseudovirus neutralization</t>
  </si>
  <si>
    <t xml:space="preserve"> Fluorometric ACE1/ACE2 activity; LC-MS/MS RAS fingerprinting; 96-plex Olink immune proteomics; ELISA antibodies</t>
  </si>
  <si>
    <t xml:space="preserve"> HIV- and VSV-based pseudovirus neutralisation assays (NT90), Nucleocapsid ELISA</t>
  </si>
  <si>
    <t xml:space="preserve">  Immunofluorescence assay</t>
  </si>
  <si>
    <t xml:space="preserve"> Luminex-based sequence-specific oligonucleotide (SSO) HLA typing</t>
  </si>
  <si>
    <t xml:space="preserve"> ELISA (cytokine quantification), ELISA (total IgG/IgM), qRT-PCR (gene expression), ROC modelling</t>
  </si>
  <si>
    <t xml:space="preserve"> Luminex multiplex binding assay; pseudovirus neutralization; ADCP; ADCC</t>
  </si>
  <si>
    <t xml:space="preserve"> IgG ELISA + pseudovirus neutralization</t>
  </si>
  <si>
    <t xml:space="preserve"> In-house ELISA</t>
  </si>
  <si>
    <t xml:space="preserve"> Multiplex Luminex (IgG, IgA, IgM)</t>
  </si>
  <si>
    <t xml:space="preserve"> ELISA (serum ACE2); TaqMan genotyping</t>
  </si>
  <si>
    <t xml:space="preserve"> IFN-γ ELISpot; ELISA (IgG); pseudovirus neutralization assay</t>
  </si>
  <si>
    <t xml:space="preserve"> CLIA IgG quantification</t>
  </si>
  <si>
    <t xml:space="preserve"> Roche Elecsys anti-S-RBD IgG; GenScript sVNT neutralization</t>
  </si>
  <si>
    <t xml:space="preserve"> SARS-CoV-2 spike &amp; nucleocapsid; other HCoVs</t>
  </si>
  <si>
    <t xml:space="preserve"> Not antigen-specific (whole plasma cytokine profiling; total immunoglobulins measured)</t>
  </si>
  <si>
    <t xml:space="preserve"> SARS-CoV-2 S, S1, S2, RBD, N; SARS-CoV-1; MERS-CoV; endemic HCoVs</t>
  </si>
  <si>
    <t xml:space="preserve"> SARS-CoV-2 N, RBD, S2; SARS-CoV N; MERS-CoV N; seasonal HCoV N proteins (229E, NL63, OC43)</t>
  </si>
  <si>
    <t xml:space="preserve"> Spike (WT), RBD, Nucleoprotein</t>
  </si>
  <si>
    <t xml:space="preserve"> SARS-CoV-2 S, S1, S2, RBD, N; P. falciparum; helminths; protozoa; HuCoVs; autoantigens</t>
  </si>
  <si>
    <t xml:space="preserve"> Spike (S1/S2), Nucleoprotein, Membrane, Envelope; HCoV-OC43 &amp; 229E</t>
  </si>
  <si>
    <t xml:space="preserve"> SARS-CoV-2 Spike &amp; Nucleocapsid; PfCSP, RH5, E-14, E-17, PfMAAP</t>
  </si>
  <si>
    <t xml:space="preserve"> None</t>
  </si>
  <si>
    <t xml:space="preserve"> SARS-CoV-2 spike (S), nucleocapsid (N)</t>
  </si>
  <si>
    <t xml:space="preserve"> Spike and nucleocapsid proteins</t>
  </si>
  <si>
    <t xml:space="preserve"> Spike, Nucleocapsid, Membrane, ORF3a, ORF7, ORF8</t>
  </si>
  <si>
    <t xml:space="preserve"> Spike S2, Nucleoprotein</t>
  </si>
  <si>
    <t xml:space="preserve"> Not applicable</t>
  </si>
  <si>
    <t xml:space="preserve"> SARS-CoV-2 Spike (S1) and Nucleocapsid</t>
  </si>
  <si>
    <t xml:space="preserve"> Spike RBD; full spike (D614G, Beta, Delta, Omicron BA1); S1, S2 peptides; N</t>
  </si>
  <si>
    <t xml:space="preserve"> SARS-CoV-2 Spike &amp; Nucleocapsid (plus SARS-CoV-1 &amp; MERS controls)</t>
  </si>
  <si>
    <t xml:space="preserve"> SARS-CoV-2 Spike (S), Nucleocapsid (N)</t>
  </si>
  <si>
    <t xml:space="preserve"> None (host ACE2 protein measured)</t>
  </si>
  <si>
    <t xml:space="preserve"> SARS-CoV-2 spike and nucleocapsid</t>
  </si>
  <si>
    <t xml:space="preserve"> N, S1, S2, S1-RBD, S1-NTD (Wuhan strain)</t>
  </si>
  <si>
    <t xml:space="preserve"> Nucleocapsid (N protein)</t>
  </si>
  <si>
    <t xml:space="preserve"> SARS-CoV-2 peptide megapools (CD4_S spike; CD4_R non-spike; CD8_A; CD8_B)</t>
  </si>
  <si>
    <t xml:space="preserve"> SARS-CoV-2 spike overlapping peptides (S1 &amp; S2)</t>
  </si>
  <si>
    <t xml:space="preserve"> N (full-length &amp; C-terminal), Spike (S), RBD, S1, S2; variant-specific Spike (Beta, Delta); neutralization against Wuhan, Alpha, Beta, Gamma, Delta, Omicron BA.1</t>
  </si>
  <si>
    <t xml:space="preserve"> Spike D614G; Spike Beta (B.1.351 with RBD &amp; NTD mutations)</t>
  </si>
  <si>
    <t>HLA-B and HLA-C loci (Class I)</t>
  </si>
  <si>
    <t>ANTIGEN/GENE</t>
  </si>
  <si>
    <t xml:space="preserve"> Spike RBD (S-RBD)</t>
  </si>
  <si>
    <t>antigen pools S1, S2, M, N</t>
  </si>
  <si>
    <t xml:space="preserve"> IgG binding</t>
  </si>
  <si>
    <t xml:space="preserve"> Host genetic association (no antibody or cytokine assays)</t>
  </si>
  <si>
    <t xml:space="preserve"> Cytokine profiling (Th1, Th2, Th17, Treg-associated cytokines); transcription factor gene expression; total IgG/IgM</t>
  </si>
  <si>
    <t xml:space="preserve"> IgG binding; Fc receptor binding; functional antibody assays</t>
  </si>
  <si>
    <t xml:space="preserve"> Host genetic polymorphism analysis (no antibody or T-cell data)</t>
  </si>
  <si>
    <t xml:space="preserve"> IgG binding + functional neutralization (subset)</t>
  </si>
  <si>
    <t xml:space="preserve"> IgG, IgM, IgA binding antibodies</t>
  </si>
  <si>
    <t xml:space="preserve"> Binding antibodies + avidity</t>
  </si>
  <si>
    <t xml:space="preserve"> Serum ACE2 expression</t>
  </si>
  <si>
    <t xml:space="preserve"> T-cell IFN-γ responses; IgG binding antibodies</t>
  </si>
  <si>
    <t xml:space="preserve"> Plasma cytokine/chemokine profiling</t>
  </si>
  <si>
    <t xml:space="preserve"> Anti-SARS-CoV-2 IgG</t>
  </si>
  <si>
    <t xml:space="preserve"> Binding IgG and functional neutralizing antibodies</t>
  </si>
  <si>
    <t xml:space="preserve"> CD4+/CD8+ T cells, cytokines, polyfunctional T cells, B cells, malaria IgG</t>
  </si>
  <si>
    <t xml:space="preserve"> CD4+CD25+Foxp3+ Treg frequency</t>
  </si>
  <si>
    <t xml:space="preserve"> Host genetic polymorphism (HLA class I &amp; II)</t>
  </si>
  <si>
    <t xml:space="preserve"> IgG binding; IFN-γ T-cell response</t>
  </si>
  <si>
    <t xml:space="preserve"> IgM and IgG binding antibodies</t>
  </si>
  <si>
    <t xml:space="preserve"> IgG binding, surrogate neutralization, multi-specific CD4+/CD8+ T-cell responses</t>
  </si>
  <si>
    <t xml:space="preserve"> IgG binding; cytokine profiling; cellular phenotyping</t>
  </si>
  <si>
    <t xml:space="preserve"> Host genetic polymorphism analysis (no antibody/cytokine/T-cell functional assays)</t>
  </si>
  <si>
    <t xml:space="preserve"> Host genetic polymorphisms + viral load + receptor expression</t>
  </si>
  <si>
    <t xml:space="preserve"> Host genetic polymorphisms</t>
  </si>
  <si>
    <t xml:space="preserve"> Cytokine and inflammatory biomarker profiling</t>
  </si>
  <si>
    <t xml:space="preserve"> T-cell proliferation; IgG serology</t>
  </si>
  <si>
    <t xml:space="preserve"> IgG binding; neutralizing antibodies; T-cell IFN-γ responses</t>
  </si>
  <si>
    <t xml:space="preserve"> Cytokines + IgG binding</t>
  </si>
  <si>
    <t xml:space="preserve"> Cytokine profiling + immunohaematology</t>
  </si>
  <si>
    <t xml:space="preserve"> IgG binding; functional neutralization; in vivo viral load</t>
  </si>
  <si>
    <t xml:space="preserve"> Host biomarker (haematology + ACE2)</t>
  </si>
  <si>
    <t xml:space="preserve"> IgG binding, neutralization, NK-cell–mediated ADCC</t>
  </si>
  <si>
    <t xml:space="preserve"> CD4+ and CD8+ T-cell activation (AIM)</t>
  </si>
  <si>
    <t xml:space="preserve"> CD4+ and CD8+ T-cell IFN-γ, TNF-α, IL-2; activation markers CD154/CD107a</t>
  </si>
  <si>
    <t xml:space="preserve"> Humoral (binding &amp; neutralizing antibodies) + Cellular (T-cell and B-cell responses)</t>
  </si>
  <si>
    <t xml:space="preserve"> IgG binding &amp; neutralizing antibodies</t>
  </si>
  <si>
    <t xml:space="preserve"> Binding IgG, Neutralizing antibodies, Mucosal IgA, T-cell responses</t>
  </si>
  <si>
    <t xml:space="preserve"> RAS enzymatic dysregulation + innate immune/MDSC-associated proteomic profiling</t>
  </si>
  <si>
    <t xml:space="preserve"> Functional neutralising antibodies</t>
  </si>
  <si>
    <t xml:space="preserve"> No</t>
  </si>
  <si>
    <t xml:space="preserve"> Yes (rare; ~0.4%)</t>
  </si>
  <si>
    <t xml:space="preserve"> Yes (SARS-CoV-2 12/47 [26%]; MERS-CoV 10/30 [~33%])</t>
  </si>
  <si>
    <t xml:space="preserve"> Yes (sVNT)</t>
  </si>
  <si>
    <t xml:space="preserve"> Yes (surrogate)</t>
  </si>
  <si>
    <t xml:space="preserve"> Yes (variant panel)</t>
  </si>
  <si>
    <t xml:space="preserve"> Yes (17/20 high potency)</t>
  </si>
  <si>
    <t xml:space="preserve"> Yes (Wuhan + VOCs including Omicron)</t>
  </si>
  <si>
    <t xml:space="preserve"> Yes (ID50 pseudovirus assay)</t>
  </si>
  <si>
    <t xml:space="preserve"> Yes (Ancestral, Alpha, Delta, Omicron BA.1 &amp; BA.2)</t>
  </si>
  <si>
    <t>Yes (variant-specific titres)</t>
  </si>
  <si>
    <t xml:space="preserve"> No functional T-cell assays (genetic inference only)</t>
  </si>
  <si>
    <t xml:space="preserve"> Indirect (FoxP3, STAT5+, RORα+, IFNγ-R1 mRNA expression)</t>
  </si>
  <si>
    <t xml:space="preserve"> Yes</t>
  </si>
  <si>
    <t xml:space="preserve"> Yes (antigen-specific functional assays)</t>
  </si>
  <si>
    <t xml:space="preserve"> Phenotypic only (no functional assays)</t>
  </si>
  <si>
    <t xml:space="preserve"> Yes (N-specific IFN-γ)</t>
  </si>
  <si>
    <t xml:space="preserve"> Yes (multi-protein, cytokine profiling)</t>
  </si>
  <si>
    <t xml:space="preserve"> Nasal CD3+ frequency only</t>
  </si>
  <si>
    <t xml:space="preserve"> Yes (S1, S2, N peptides)</t>
  </si>
  <si>
    <t xml:space="preserve"> Yes (AIM)</t>
  </si>
  <si>
    <t xml:space="preserve"> Yes (AIM CD4+ and CD8+ responses at D0, D21, M3)</t>
  </si>
  <si>
    <t xml:space="preserve"> Yes (IFN-γ ELISpot)</t>
  </si>
  <si>
    <t xml:space="preserve"> No direct T-cell functional assays</t>
  </si>
  <si>
    <t xml:space="preserve">VARIANT </t>
  </si>
  <si>
    <t xml:space="preserve"> Not specified (2020 ancestral wave)</t>
  </si>
  <si>
    <t xml:space="preserve"> Pre-Omicron wave; reinfections likely variant-driven</t>
  </si>
  <si>
    <t xml:space="preserve"> 2021 circulation (not stratified)</t>
  </si>
  <si>
    <t xml:space="preserve"> Early pandemic (2020)</t>
  </si>
  <si>
    <t xml:space="preserve"> March 2021 wave (not stratified)</t>
  </si>
  <si>
    <t xml:space="preserve"> 2021 (Delta period), not variant-specific</t>
  </si>
  <si>
    <t xml:space="preserve"> Early pandemic (ancestral strain)</t>
  </si>
  <si>
    <t xml:space="preserve"> Wuhan peptides; Delta/Omicron RBD antibody testing</t>
  </si>
  <si>
    <t xml:space="preserve"> Early pandemic (no variant stratification)</t>
  </si>
  <si>
    <t xml:space="preserve"> Not specified</t>
  </si>
  <si>
    <t xml:space="preserve"> Not variant-specific</t>
  </si>
  <si>
    <t xml:space="preserve"> First wave; variant not specified</t>
  </si>
  <si>
    <t xml:space="preserve"> D614G, Beta, Delta, Omicron BA1; wave-stratified</t>
  </si>
  <si>
    <t xml:space="preserve"> B.1 evolving to Delta (no variant stratification)</t>
  </si>
  <si>
    <t xml:space="preserve"> Not specified (2020–2021 period)</t>
  </si>
  <si>
    <t xml:space="preserve"> Early pandemic (pre-VOC era)</t>
  </si>
  <si>
    <t xml:space="preserve"> Wuhan strain; pre-variant era</t>
  </si>
  <si>
    <t xml:space="preserve"> First wave (Beta emergence period)</t>
  </si>
  <si>
    <t xml:space="preserve"> Ancestral spike (not variant-specific)</t>
  </si>
  <si>
    <t xml:space="preserve"> Four epidemic waves (2020–2022): Alpha/Beta, Delta, Omicron BA.1/BA.2, Omicron BA.4/BA.5 (wave-based classification)</t>
  </si>
  <si>
    <t xml:space="preserve"> Ancestral/Alpha exposure; pre-Delta sampling</t>
  </si>
  <si>
    <t xml:space="preserve"> Wildtype, Beta, Delta waves (no variant-specific RAS differences)</t>
  </si>
  <si>
    <t xml:space="preserve"> Early pandemic (likely ancestral/Wuhan strain)</t>
  </si>
  <si>
    <t xml:space="preserve"> Ancestral strain</t>
  </si>
  <si>
    <t xml:space="preserve"> Early pandemic strains (2020–2022)</t>
  </si>
  <si>
    <t xml:space="preserve"> SARS-CoV-2 D614G pseudovirus</t>
  </si>
  <si>
    <t xml:space="preserve"> Early pandemic; A23.1 and Delta during follow-up</t>
  </si>
  <si>
    <t xml:space="preserve"> Wuhan strain</t>
  </si>
  <si>
    <t xml:space="preserve"> Wild-type Wuhan strain</t>
  </si>
  <si>
    <t xml:space="preserve"> Not specified (2021 wave)</t>
  </si>
  <si>
    <t xml:space="preserve"> Mild vs asymptomatic; PCR+ vs PCR-; reinfection vs none; vaccinated vs unvaccinated</t>
  </si>
  <si>
    <t xml:space="preserve"> African vs European; malaria exposure groups; ± urea</t>
  </si>
  <si>
    <t xml:space="preserve"> Healthy controls + within-patient severity groups</t>
  </si>
  <si>
    <t xml:space="preserve"> HIV-negative vs HIV-positive</t>
  </si>
  <si>
    <t xml:space="preserve"> Healthy controls; Mild/Moderate vs Severe</t>
  </si>
  <si>
    <t xml:space="preserve"> Asymptomatic vs Mild vs Moderate vs Severe</t>
  </si>
  <si>
    <t xml:space="preserve"> Longitudinal time-point comparisons; reinfected vs non-reinfected</t>
  </si>
  <si>
    <t xml:space="preserve"> Asymptomatic vs symptomatic; SARS-CoV-2 negative controls</t>
  </si>
  <si>
    <t xml:space="preserve"> Healthy controls; moderate vs severe; MIS-C vs COVID-19</t>
  </si>
  <si>
    <t xml:space="preserve"> Deceased vs survived; intubated vs non-intubated</t>
  </si>
  <si>
    <t xml:space="preserve"> PCR-confirmed vs non-confirmed; S+N vs N-only vs seronegative; baseline vs post-vaccine</t>
  </si>
  <si>
    <t xml:space="preserve"> Hospitalized vs non-hospitalized; PCR-positive vs negative; male vs female</t>
  </si>
  <si>
    <t xml:space="preserve"> Pre-pandemic Kenya; symptomatic Singapore convalescents</t>
  </si>
  <si>
    <t xml:space="preserve"> PCR−/IgG− SARI; healthy controls</t>
  </si>
  <si>
    <t xml:space="preserve"> COVID+ vs controls; symptomatic vs asymptomatic</t>
  </si>
  <si>
    <t xml:space="preserve"> Across ethnic groups and genotype groups</t>
  </si>
  <si>
    <t xml:space="preserve"> Ethnic group comparison</t>
  </si>
  <si>
    <t xml:space="preserve"> Severe vs Mild vs Asymptomatic vs Controls</t>
  </si>
  <si>
    <t xml:space="preserve"> PCR+ vs PCR−; serology+ vs serology−; high-risk vs low-risk exposure</t>
  </si>
  <si>
    <t xml:space="preserve"> Survivors vs contacts; vaccinated vs convalescent; hybrid vs vaccine-only; pre-pandemic vs infected; wave comparisons</t>
  </si>
  <si>
    <t xml:space="preserve"> Active vs recovered vs unexposed controls</t>
  </si>
  <si>
    <t xml:space="preserve"> African vs non-African cohorts; N+ vs N−; convalescent controls</t>
  </si>
  <si>
    <t xml:space="preserve"> SARS-CoV-2 positive vs negative; severity groups</t>
  </si>
  <si>
    <t xml:space="preserve"> Pre-pandemic controls; nAb-positive vs nAb-negative plasma</t>
  </si>
  <si>
    <t xml:space="preserve"> French pre-pandemic blood donors</t>
  </si>
  <si>
    <t xml:space="preserve"> Internal demographic/comorbidity comparisons</t>
  </si>
  <si>
    <t xml:space="preserve"> DMSO negative control; PHA/CMV positive controls; hospitalized COVID+ PBMC as assay positive control</t>
  </si>
  <si>
    <t xml:space="preserve"> Kenya ( Sweden)</t>
  </si>
  <si>
    <t xml:space="preserve"> Kenyan vs Swedish pre-pandemic adults</t>
  </si>
  <si>
    <t xml:space="preserve"> D614G-only vs Beta-only vs double neutralizers; month-by-month comparison</t>
  </si>
  <si>
    <t xml:space="preserve"> Serogroups (S+N+, S+N−, S−N+, S−N−); age groups; variant-specific responses</t>
  </si>
  <si>
    <t xml:space="preserve"> Asymptomatic vs Mild vs Moderate vs Critical; Ambulatory vs Hospitalized; Deceased vs Survived</t>
  </si>
  <si>
    <t xml:space="preserve"> Rural vs urban; infected vs vaccinated vs hybrid; age groups; HIV status</t>
  </si>
  <si>
    <t xml:space="preserve"> Moderate vs Severe; Survivors vs Non-survivors (internal comparison only)</t>
  </si>
  <si>
    <t xml:space="preserve"> Severe COVID-19 associated with elevated pro- and anti-inflammatory cytokines; IFN-γ identified as strongest severity biomarker; low IL-9 and elevated IFN-γ/IL-9 ratio associated with mortality</t>
  </si>
  <si>
    <t xml:space="preserve"> Higher pre-pandemic S/S2 cross-reactive antibody binding in African samples compared to Thailand; neutralization and Fc-mediated functions rare</t>
  </si>
  <si>
    <t xml:space="preserve"> ACE2 rs2285666 not associated with severity; TMPRSS2 rs12329760 T allele protective (sex-specific effects observed)</t>
  </si>
  <si>
    <t xml:space="preserve"> High pre-pandemic coronavirus cross-reactive IgG in Sierra Leone (notably SARS-CoV-2 N); a subset showed SARS-CoV-2 and MERS pseudovirus neutralization</t>
  </si>
  <si>
    <t xml:space="preserve"> Asymptomatic cases mounted faster, stronger Spike responses; Spike IgG persisted 28 months; N antibodies waned rapidly; N-based serosurveillance may underestimate exposure</t>
  </si>
  <si>
    <t xml:space="preserve"> Malaria-associated polyreactive antibodies drive high false SARS-CoV-2 seropositivity in African prepandemic samples; urea improves assay specificity</t>
  </si>
  <si>
    <t xml:space="preserve"> Lower serum ACE2 in COVID-19; AG and GG genotypes associated with increased severity; G allele enriched in patients</t>
  </si>
  <si>
    <t xml:space="preserve"> Low-frequency pre-pandemic cross-reactive T-cell and IgG responses, primarily N-directed; spike antibodies non-neutralizing; responses reduced in HIV-positive individuals; weak correlation with seasonal HCoVs</t>
  </si>
  <si>
    <t xml:space="preserve"> Severe COVID-19 associated with elevated CRP, SAA, IL-10, CXCL10; CRP and age independently predict severity</t>
  </si>
  <si>
    <t xml:space="preserve"> Severe COVID-19 associated with higher and more durable IgG responses; asymptomatic cases show low and rapidly waning IgG</t>
  </si>
  <si>
    <t xml:space="preserve"> Durable anti-S-RBD IgG up to 12 months; neutralizing antibodies persist in 42.9%; reinfections associated with antibody boosting</t>
  </si>
  <si>
    <t xml:space="preserve"> Asymptomatic COVID-19 associated with higher malaria antibody levels, lower inflammatory cytokines, and higher polyfunctional T cell proportions; symptomatic cases showed higher activation/exhaustion and stronger inflammatory responses</t>
  </si>
  <si>
    <t xml:space="preserve"> No significant association between peripheral Treg frequency and disease severity; decreased Tregs in only 10%</t>
  </si>
  <si>
    <t xml:space="preserve"> HLA DQB106 protective against mortality; HLA DQB103 protective against intubation</t>
  </si>
  <si>
    <t xml:space="preserve"> High seroprevalence in Nigeria with robust humoral and cellular responses; N-only antibodies and strong N-specific T-cell responses suggest possible pre-existing coronavirus immunity</t>
  </si>
  <si>
    <t xml:space="preserve"> 32% overall seroprevalence; IgM peaked ~day 20, IgG ~day 30; suggests substantial under-detected transmission</t>
  </si>
  <si>
    <t xml:space="preserve"> High multi-specific T-cell responses despite low seropositivity; accessory protein dominance; elevated IL-10/IFN-γ ratio in asymptomatic Kenyans</t>
  </si>
  <si>
    <t xml:space="preserve"> PCR−/IgG+ patients showed COVID-like chemokine/neutrophil-dominated nasal immune signature; severe disease associated with nasal chemokine predominance and neutrophilia</t>
  </si>
  <si>
    <t xml:space="preserve"> No ACE2/IL-22 association with susceptibility; IL-22 rs1179251 associated with symptom presentation (GG protective; C allele risk); combined ACE2(G)+IL-22(C) genotype associated with symptomatic disease</t>
  </si>
  <si>
    <t xml:space="preserve"> ACE2 rs2285666 and TMPRSS2 rs12329760 significantly associated with viral load and severity in Africans; Africans had lower viral loads overall</t>
  </si>
  <si>
    <t xml:space="preserve"> High frequency of ACE D allele and ACE2 rs2106809 T allele; novel ACE2 mutations identified; potential malaria-driven selection pressure relevant to COVID-19 susceptibility</t>
  </si>
  <si>
    <t xml:space="preserve"> Severe COVID-19 associated with elevated IFN-γ, TNF-α, IL-6, IL-10, ferritin, homocysteine, and D-dimer; strong inflammatory signature</t>
  </si>
  <si>
    <t xml:space="preserve"> High prevalence of cross-reactive T-cell responses in uninfected individuals; stronger magnitude in previously infected participants</t>
  </si>
  <si>
    <t xml:space="preserve"> Asymptomatic and symptomatic individuals mount similar binding and neutralizing responses; pre-pandemic sera show cross-reactive binding but no neutralization; hybrid immunity strongest; wave 3 (Delta) induced highest neutralization</t>
  </si>
  <si>
    <t xml:space="preserve"> Ghanaian cohort showed dampened cytokine responses overall; symptomatic cases had higher pro-inflammatory cytokines; Eotaxin strongly associated with asymptomatic phenotype; antibody responses robust but similar across severity; no clear ABO statistical association though trend for blood group O protection</t>
  </si>
  <si>
    <t xml:space="preserve"> Active infection associated with ↑IL-10, ↑WBC/basophils and ↓IFN-γ, ↓Hb/HCT/MPV; recovered group resembled controls (immune recovery)</t>
  </si>
  <si>
    <t xml:space="preserve"> High pre-pandemic N-specific cross-reactive antibodies in Central/West Africa; non-neutralizing and non-protective in mouse model</t>
  </si>
  <si>
    <t xml:space="preserve"> No association between ABO/Rh or plasma ACE2 and infection; older age associated with severity; lymphocytopenia, neutrophilia, and anaemia associated with severe disease</t>
  </si>
  <si>
    <t xml:space="preserve"> Most COVID-19 plasma mediated strong ADCC; ADCC present even in some individuals lacking neutralizing antibodies; highlights importance of Fc-mediated effector functions</t>
  </si>
  <si>
    <t xml:space="preserve"> High prevalence of cross-reactive IgG to SARS-CoV-2 S1 and RBD in Central/West African pre-pandemic sera; significantly higher than controls; suggests possible exposure to unknown Sarbecovirus-like virus</t>
  </si>
  <si>
    <t xml:space="preserve"> Anti-N IgG persisted ~5 months on average; 57% retained antibodies at ~7.5 months; reduced persistence in HIV-positive individuals</t>
  </si>
  <si>
    <t xml:space="preserve"> Very high frequency of pre-pandemic SARS-CoV-2 cross-reactive T cells in Ugandans (89.7% any response; 72.4% CD4; 65.5% CD8; 44.8% both)</t>
  </si>
  <si>
    <t xml:space="preserve"> Higher prevalence and magnitude of pre-pandemic spike-specific IFN-γ T-cell responses in Kenyan vs Swedish adults; suggests enhanced cross-reactive cellular immunity in SSA</t>
  </si>
  <si>
    <t xml:space="preserve"> Population-level shift from D614G-preferential to Beta-preferential and cross-neutralizing antibody responses; Beta GMT increased while D614G GMT declined</t>
  </si>
  <si>
    <t xml:space="preserve"> High spike seroprevalence (56.7%) with compartmentalised mucosal, systemic and T-cell immunity; substantial T-cell responses in seronegative individuals suggesting cross-reactivity or abortive infection</t>
  </si>
  <si>
    <t xml:space="preserve"> ACE1 activity decreases and ACE2 increases with severity; ACE1 reduction predicts mortality; integrated RAS-immune model predicts severity (AUC=0.82)</t>
  </si>
  <si>
    <t xml:space="preserve"> Hybrid immunity produced strongest neutralisation; vaccination superior to infection; children &lt;15 and PLWH had lower titres; Omicron poorly neutralised; urban site had higher neutralisation prevalence</t>
  </si>
  <si>
    <t xml:space="preserve"> Higher pre-pandemic nucleocapsid-directed cross-reactive antibodies in SSA vs USA; linked to HCoV-NL63/229E</t>
  </si>
  <si>
    <t xml:space="preserve"> HLA-B41, HLA-B42, HLA-C16, and HLA-C17 associated with severe COVID-19. HLA-B*15 strongly associated with survival and independently predicted protection against mortality (OR ≈1351, p &lt; 0.001). Elevated TLC, ferritin, and creatinine associated with mortality.</t>
  </si>
  <si>
    <t xml:space="preserve"> Moderate</t>
  </si>
  <si>
    <t xml:space="preserve"> Low–Moderate</t>
  </si>
  <si>
    <t xml:space="preserve"> Monthly sampling for 6 months post-infection</t>
  </si>
  <si>
    <t xml:space="preserve"> 1, 3, 6, 9, 12 months post-infection</t>
  </si>
  <si>
    <t xml:space="preserve"> Acute phase hospitalization</t>
  </si>
  <si>
    <t xml:space="preserve"> During ICU admission</t>
  </si>
  <si>
    <t xml:space="preserve"> Baseline; 7, 14, 84 days post-vaccination</t>
  </si>
  <si>
    <t xml:space="preserve"> June–August 2020; analyzed by days since symptom onset</t>
  </si>
  <si>
    <t xml:space="preserve"> Nov–Dec 2021; comparator 6 months post infection</t>
  </si>
  <si>
    <t xml:space="preserve"> Median 4 days post-symptom onset (PCR+)</t>
  </si>
  <si>
    <t xml:space="preserve"> COVID-era recruitment; dates not clearly stated</t>
  </si>
  <si>
    <t xml:space="preserve"> 6 weeks post infection (buffy coat); viral load at diagnosis</t>
  </si>
  <si>
    <t xml:space="preserve"> Acute phase infection</t>
  </si>
  <si>
    <t xml:space="preserve"> ≥2 weeks post-diagnosis (positives); Sept–Nov 2020</t>
  </si>
  <si>
    <t xml:space="preserve"> Feb 2021–Dec 2022; pre-pandemic 2018–2019</t>
  </si>
  <si>
    <t xml:space="preserve"> Baseline post-PCR; weekly for 4 weeks; subset up to 4 months</t>
  </si>
  <si>
    <t xml:space="preserve"> Jan–Jun 2021; recovered defined after treatment + 2 weeks isolation and RT-qPCR negative</t>
  </si>
  <si>
    <t xml:space="preserve"> 2017–2019 (pre-pandemic)</t>
  </si>
  <si>
    <t xml:space="preserve"> Acute presentation at hospital</t>
  </si>
  <si>
    <t xml:space="preserve"> Acute or convalescent (cross-sectional sampling)</t>
  </si>
  <si>
    <t xml:space="preserve"> 2014–2019 (before Nov 2019)</t>
  </si>
  <si>
    <t xml:space="preserve"> 1–7 months; extended to ~7.5 months</t>
  </si>
  <si>
    <t xml:space="preserve"> PBMC collected Dec 2015–May 2017 (pre-pandemic)</t>
  </si>
  <si>
    <t xml:space="preserve"> D0, D7, D21, M1, M3, M6, M12</t>
  </si>
  <si>
    <t xml:space="preserve"> November 2020 to February 2021 (during variant transition)</t>
  </si>
  <si>
    <t xml:space="preserve"> March–June 2021 (pre-Delta wave)</t>
  </si>
  <si>
    <t xml:space="preserve"> Longitudinal; worst severity timepoint; recovery at 3–18 months</t>
  </si>
  <si>
    <t xml:space="preserve"> Four surveys (Feb 2021 – Apr 2022), ~3-month intervals</t>
  </si>
  <si>
    <t xml:space="preserve"> Baseline ~1 day post-PCR; weekly ×1 month; monthly up to 28 months</t>
  </si>
  <si>
    <t xml:space="preserve"> Acute phase</t>
  </si>
  <si>
    <t>2013–Feb 2020 (Africa); Aug 2019–April 2020 (Thailand)</t>
  </si>
  <si>
    <t xml:space="preserve"> 296 (Gabon 146; Senegal 150)</t>
  </si>
  <si>
    <t xml:space="preserve"> No </t>
  </si>
  <si>
    <t>No</t>
  </si>
  <si>
    <t>COMPARATOR</t>
  </si>
  <si>
    <t xml:space="preserve"> Moderate </t>
  </si>
  <si>
    <t xml:space="preserve"> Low–Moderate </t>
  </si>
  <si>
    <t xml:space="preserve"> Low-moderate</t>
  </si>
  <si>
    <t xml:space="preserve"> Moderate-High </t>
  </si>
  <si>
    <t xml:space="preserve"> Moderate-High</t>
  </si>
  <si>
    <t xml:space="preserve"> Moderate-high </t>
  </si>
  <si>
    <t xml:space="preserve"> D614G, Beta (Nov 2020 – Feb 2021)</t>
  </si>
  <si>
    <t>Pre-pandemic (2017–May 2019 for SSA samples)</t>
  </si>
  <si>
    <t>SSA (Tanzania + Zambia) vs USA pre-pandemic samples</t>
  </si>
  <si>
    <t>Sierra Leone pre-pandemic vs USA healthy donors and COVID-19 subjects</t>
  </si>
  <si>
    <t xml:space="preserve"> Mild vs Severe; sex-stratified</t>
  </si>
  <si>
    <t>Day 1, 7, 14, 21, 28 post-diagnosis</t>
  </si>
  <si>
    <t>Acute hospitalized phase</t>
  </si>
  <si>
    <t xml:space="preserve">Acute infection Phase </t>
  </si>
  <si>
    <t>Sept 2016 – April 2019</t>
  </si>
  <si>
    <t>During active infection (hospital admission)</t>
  </si>
  <si>
    <t>Pre-pandemic 2009–2015</t>
  </si>
  <si>
    <t xml:space="preserve">Pre-pandemic; ~21 days post infection </t>
  </si>
  <si>
    <t>Archived samples</t>
  </si>
  <si>
    <t>Moderate</t>
  </si>
  <si>
    <t xml:space="preserve"> Low-Moderate </t>
  </si>
  <si>
    <t xml:space="preserve"> Low-Moderate</t>
  </si>
  <si>
    <t>MALE</t>
  </si>
  <si>
    <t>FEMALE</t>
  </si>
  <si>
    <t>21.2-26.7</t>
  </si>
  <si>
    <t>47 ± 13 years</t>
  </si>
  <si>
    <t>43 (0.2-87)</t>
  </si>
  <si>
    <t xml:space="preserve"> Asymptomatic, unvaccinated adults ≥18; PCR negative; 53% female; mean age 37 years; 16% HIV+</t>
  </si>
  <si>
    <t>≥18</t>
  </si>
  <si>
    <t>(18-69)</t>
  </si>
  <si>
    <t xml:space="preserve"> Mostly asymptomatic community cohort; 57.6% female; age-stratified; pre-Delta wave &lt;5 yrs (41), 5–49 yrs (283), ≥50 yrs (25)</t>
  </si>
  <si>
    <t xml:space="preserve">&lt;5 yrs, 5–49 yrs, ≥50 yrs </t>
  </si>
  <si>
    <t>≥12 yrs</t>
  </si>
  <si>
    <t xml:space="preserve"> 37.5 ± 13.2 yrs</t>
  </si>
  <si>
    <t>27 (24-30)</t>
  </si>
  <si>
    <t>(22-85)</t>
  </si>
  <si>
    <t>NR</t>
  </si>
  <si>
    <t xml:space="preserve"> Pre-pandemic sera (2014–2019); biobank samples; age/sex not  recorded</t>
  </si>
  <si>
    <t>(36-55)</t>
  </si>
  <si>
    <t>(0-75) yrs</t>
  </si>
  <si>
    <t>36-38</t>
  </si>
  <si>
    <t>89  Survivors Survivors, Female: 60% ; Exposed PCR-, 34; Vaccinated 517, Female: 62%; Pre-pandemic 64</t>
  </si>
  <si>
    <t>(30-51)</t>
  </si>
  <si>
    <t xml:space="preserve"> Median age 36-41 years; 52% male; hospitalized and community participants; symptomatic and asymptomatic</t>
  </si>
  <si>
    <t>6.28 ± 5.35  (0.6-15)</t>
  </si>
  <si>
    <t>41 years (IQR 21–67)</t>
  </si>
  <si>
    <t>38 (16-60)</t>
  </si>
  <si>
    <t xml:space="preserve"> 260 (126 COVID-19( Severe: 68, Mild/Moderate: 58); 134 controls)</t>
  </si>
  <si>
    <t>602 (Prepandemic malaria-exposed (n = 205), Prepandemic malaria-infected (n = 174), Post-SARS-CoV-2 infection Ghanaian (n = 35))</t>
  </si>
  <si>
    <t xml:space="preserve"> Ages 14-87; median 31; 245 males, 75 females; mild and asymptomatic PCR-confirmed COVID-19</t>
  </si>
  <si>
    <t>(16-38)</t>
  </si>
  <si>
    <t xml:space="preserve"> Adults with PCR-confirmed SARS-CoV-2 infection; severity classified clinically; 28-day follow-up; Mild: 34 (26-44)yrs, Severe: 42 (31-70)</t>
  </si>
  <si>
    <t>Observational hospital-based cohort</t>
  </si>
  <si>
    <t>60-62%</t>
  </si>
  <si>
    <t>38-40%</t>
  </si>
  <si>
    <t xml:space="preserve"> Adults; 60-62% female; mean age 36–38 years</t>
  </si>
  <si>
    <t>AGE (YRS)</t>
  </si>
  <si>
    <t>39-plex multiplex ELISA</t>
  </si>
  <si>
    <t>pre-COVID  31 (24-40); Infants: 0.75 (0.58-0.83); COVID: 43 (34-55)</t>
  </si>
  <si>
    <t xml:space="preserve"> Pre-pandemic adults 18-49 from fishing community; median age 27 (IQR 24–30); 72.4% male; HIV-negative; schistosomiasis 13.8%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</si>
</sst>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rial"/>
      <family val="2"/>
    </font>
    <font>
      <sz val="12"/>
      <color rgb="FF212121"/>
      <name val="Arial"/>
      <family val="2"/>
    </font>
    <font>
      <sz val="11"/>
      <color theme="1"/>
      <name val="Aptos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21" fillId="0" borderId="10" xfId="0" applyFont="1" applyBorder="1" applyAlignment="1">
      <alignment wrapText="1"/>
    </xf>
    <xf numFmtId="0" fontId="16" fillId="0" borderId="0" xfId="0" applyFont="1" applyAlignment="1">
      <alignment wrapText="1"/>
    </xf>
    <xf numFmtId="0" fontId="22" fillId="0" borderId="10" xfId="0" applyFont="1" applyBorder="1" applyAlignment="1">
      <alignment vertical="center" wrapText="1"/>
    </xf>
    <xf numFmtId="0" fontId="18" fillId="0" borderId="10" xfId="0" applyFont="1" applyBorder="1" applyAlignment="1">
      <alignment wrapText="1"/>
    </xf>
    <xf numFmtId="0" fontId="22" fillId="0" borderId="10" xfId="0" applyFont="1" applyBorder="1" applyAlignment="1">
      <alignment wrapText="1"/>
    </xf>
    <xf numFmtId="0" fontId="0" fillId="0" borderId="0" xfId="0" applyAlignment="1">
      <alignment wrapText="1"/>
    </xf>
    <xf numFmtId="0" fontId="22" fillId="0" borderId="10" xfId="0" applyFont="1" applyBorder="1" applyAlignment="1">
      <alignment horizontal="left" vertical="center" wrapText="1"/>
    </xf>
    <xf numFmtId="0" fontId="19" fillId="0" borderId="0" xfId="0" applyFont="1" applyAlignment="1">
      <alignment wrapText="1"/>
    </xf>
    <xf numFmtId="0" fontId="22" fillId="0" borderId="0" xfId="0" applyFont="1" applyAlignment="1">
      <alignment vertical="center" wrapText="1"/>
    </xf>
    <xf numFmtId="0" fontId="22" fillId="0" borderId="0" xfId="0" applyFont="1" applyAlignment="1">
      <alignment wrapText="1"/>
    </xf>
    <xf numFmtId="0" fontId="20" fillId="0" borderId="0" xfId="0" applyFont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A52F2-75DA-40B6-B7A8-2B092483E376}">
  <dimension ref="A1:T74"/>
  <sheetViews>
    <sheetView tabSelected="1" topLeftCell="N35" zoomScale="119" workbookViewId="0">
      <selection activeCell="E15" sqref="E15"/>
    </sheetView>
  </sheetViews>
  <sheetFormatPr defaultColWidth="8.85546875" defaultRowHeight="15" x14ac:dyDescent="0.25"/>
  <cols>
    <col min="1" max="1" width="8.85546875" style="6"/>
    <col min="2" max="2" width="24.5703125" style="6" customWidth="1"/>
    <col min="3" max="3" width="32.7109375" style="6" customWidth="1"/>
    <col min="4" max="4" width="18.5703125" style="6" customWidth="1"/>
    <col min="5" max="5" width="19.5703125" style="6" customWidth="1"/>
    <col min="6" max="6" width="21.28515625" style="6" customWidth="1"/>
    <col min="7" max="7" width="14" style="6" customWidth="1"/>
    <col min="8" max="8" width="9.140625" style="6" customWidth="1"/>
    <col min="9" max="9" width="10.5703125" style="6" customWidth="1"/>
    <col min="10" max="10" width="19.28515625" style="6" customWidth="1"/>
    <col min="11" max="11" width="20.140625" style="6" customWidth="1"/>
    <col min="12" max="12" width="18.42578125" style="6" customWidth="1"/>
    <col min="13" max="13" width="23.5703125" style="6" customWidth="1"/>
    <col min="14" max="14" width="19.7109375" style="6" customWidth="1"/>
    <col min="15" max="15" width="19.85546875" style="6" customWidth="1"/>
    <col min="16" max="16" width="20" style="6" customWidth="1"/>
    <col min="17" max="17" width="23.85546875" style="6" customWidth="1"/>
    <col min="18" max="18" width="16.5703125" style="6" customWidth="1"/>
    <col min="19" max="19" width="21.140625" style="6" customWidth="1"/>
    <col min="20" max="20" width="32.5703125" style="6" customWidth="1"/>
    <col min="21" max="16384" width="8.85546875" style="6"/>
  </cols>
  <sheetData>
    <row r="1" spans="1:20" s="2" customFormat="1" ht="30" x14ac:dyDescent="0.25">
      <c r="A1" s="1" t="s">
        <v>43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557</v>
      </c>
      <c r="H1" s="1" t="s">
        <v>523</v>
      </c>
      <c r="I1" s="1" t="s">
        <v>524</v>
      </c>
      <c r="J1" s="1" t="s">
        <v>25</v>
      </c>
      <c r="K1" s="1" t="s">
        <v>26</v>
      </c>
      <c r="L1" s="1" t="s">
        <v>297</v>
      </c>
      <c r="M1" s="1" t="s">
        <v>27</v>
      </c>
      <c r="N1" s="1" t="s">
        <v>28</v>
      </c>
      <c r="O1" s="1" t="s">
        <v>29</v>
      </c>
      <c r="P1" s="1" t="s">
        <v>362</v>
      </c>
      <c r="Q1" s="1" t="s">
        <v>500</v>
      </c>
      <c r="R1" s="1" t="s">
        <v>30</v>
      </c>
      <c r="S1" s="1" t="s">
        <v>31</v>
      </c>
      <c r="T1" s="1" t="s">
        <v>14</v>
      </c>
    </row>
    <row r="2" spans="1:20" ht="57" x14ac:dyDescent="0.25">
      <c r="A2" s="3">
        <v>1</v>
      </c>
      <c r="B2" s="3" t="s">
        <v>69</v>
      </c>
      <c r="C2" s="3" t="s">
        <v>109</v>
      </c>
      <c r="D2" s="3" t="s">
        <v>110</v>
      </c>
      <c r="E2" s="3">
        <v>289</v>
      </c>
      <c r="F2" s="3" t="s">
        <v>168</v>
      </c>
      <c r="G2" s="4" t="s">
        <v>529</v>
      </c>
      <c r="H2" s="4" t="s">
        <v>537</v>
      </c>
      <c r="I2" s="4" t="s">
        <v>537</v>
      </c>
      <c r="J2" s="3" t="s">
        <v>202</v>
      </c>
      <c r="K2" s="3" t="s">
        <v>259</v>
      </c>
      <c r="L2" s="3" t="s">
        <v>270</v>
      </c>
      <c r="M2" s="3" t="s">
        <v>300</v>
      </c>
      <c r="N2" s="3" t="s">
        <v>338</v>
      </c>
      <c r="O2" s="3" t="s">
        <v>338</v>
      </c>
      <c r="P2" s="3" t="s">
        <v>283</v>
      </c>
      <c r="Q2" s="5" t="s">
        <v>509</v>
      </c>
      <c r="R2" s="3" t="s">
        <v>466</v>
      </c>
      <c r="S2" s="5" t="s">
        <v>508</v>
      </c>
      <c r="T2" s="3" t="s">
        <v>464</v>
      </c>
    </row>
    <row r="3" spans="1:20" ht="129" x14ac:dyDescent="0.25">
      <c r="A3" s="3">
        <v>2</v>
      </c>
      <c r="B3" s="5" t="s">
        <v>79</v>
      </c>
      <c r="C3" s="5" t="s">
        <v>83</v>
      </c>
      <c r="D3" s="5" t="s">
        <v>553</v>
      </c>
      <c r="E3" s="5">
        <v>69</v>
      </c>
      <c r="F3" s="5" t="s">
        <v>169</v>
      </c>
      <c r="G3" s="4" t="s">
        <v>7</v>
      </c>
      <c r="H3" s="4">
        <v>31</v>
      </c>
      <c r="I3" s="4">
        <v>38</v>
      </c>
      <c r="J3" s="5" t="s">
        <v>200</v>
      </c>
      <c r="K3" s="5" t="s">
        <v>260</v>
      </c>
      <c r="L3" s="5" t="s">
        <v>296</v>
      </c>
      <c r="M3" s="5" t="s">
        <v>301</v>
      </c>
      <c r="N3" s="5" t="s">
        <v>338</v>
      </c>
      <c r="O3" s="5" t="s">
        <v>349</v>
      </c>
      <c r="P3" s="5" t="s">
        <v>385</v>
      </c>
      <c r="Q3" s="5" t="s">
        <v>426</v>
      </c>
      <c r="R3" s="5" t="s">
        <v>521</v>
      </c>
      <c r="S3" s="5" t="s">
        <v>513</v>
      </c>
      <c r="T3" s="5" t="s">
        <v>465</v>
      </c>
    </row>
    <row r="4" spans="1:20" ht="114" x14ac:dyDescent="0.25">
      <c r="A4" s="3">
        <v>3</v>
      </c>
      <c r="B4" s="3" t="s">
        <v>80</v>
      </c>
      <c r="C4" s="3" t="s">
        <v>84</v>
      </c>
      <c r="D4" s="3" t="s">
        <v>111</v>
      </c>
      <c r="E4" s="3" t="s">
        <v>142</v>
      </c>
      <c r="F4" s="3" t="s">
        <v>552</v>
      </c>
      <c r="G4" s="4" t="s">
        <v>0</v>
      </c>
      <c r="H4" s="4">
        <v>114</v>
      </c>
      <c r="I4" s="4">
        <v>103</v>
      </c>
      <c r="J4" s="3" t="s">
        <v>201</v>
      </c>
      <c r="K4" s="3" t="s">
        <v>261</v>
      </c>
      <c r="L4" s="3" t="s">
        <v>271</v>
      </c>
      <c r="M4" s="3" t="s">
        <v>302</v>
      </c>
      <c r="N4" s="3" t="s">
        <v>338</v>
      </c>
      <c r="O4" s="3" t="s">
        <v>350</v>
      </c>
      <c r="P4" s="3" t="s">
        <v>372</v>
      </c>
      <c r="Q4" s="5" t="s">
        <v>15</v>
      </c>
      <c r="R4" s="3" t="s">
        <v>520</v>
      </c>
      <c r="S4" s="5" t="s">
        <v>512</v>
      </c>
      <c r="T4" s="3" t="s">
        <v>427</v>
      </c>
    </row>
    <row r="5" spans="1:20" ht="71.25" x14ac:dyDescent="0.25">
      <c r="A5" s="3">
        <v>4</v>
      </c>
      <c r="B5" s="3" t="s">
        <v>81</v>
      </c>
      <c r="C5" s="3" t="s">
        <v>85</v>
      </c>
      <c r="D5" s="3" t="s">
        <v>112</v>
      </c>
      <c r="E5" s="3" t="s">
        <v>143</v>
      </c>
      <c r="F5" s="3" t="s">
        <v>170</v>
      </c>
      <c r="G5" s="4" t="s">
        <v>537</v>
      </c>
      <c r="H5" s="4" t="s">
        <v>537</v>
      </c>
      <c r="I5" s="4" t="s">
        <v>537</v>
      </c>
      <c r="J5" s="3" t="s">
        <v>202</v>
      </c>
      <c r="K5" s="3" t="s">
        <v>262</v>
      </c>
      <c r="L5" s="3" t="s">
        <v>272</v>
      </c>
      <c r="M5" s="3" t="s">
        <v>303</v>
      </c>
      <c r="N5" s="3" t="s">
        <v>339</v>
      </c>
      <c r="O5" s="3" t="s">
        <v>338</v>
      </c>
      <c r="P5" s="3" t="s">
        <v>386</v>
      </c>
      <c r="Q5" s="3" t="s">
        <v>16</v>
      </c>
      <c r="R5" s="3" t="s">
        <v>466</v>
      </c>
      <c r="S5" s="3" t="s">
        <v>496</v>
      </c>
      <c r="T5" s="3" t="s">
        <v>428</v>
      </c>
    </row>
    <row r="6" spans="1:20" ht="71.25" x14ac:dyDescent="0.25">
      <c r="A6" s="3">
        <v>5</v>
      </c>
      <c r="B6" s="3" t="s">
        <v>82</v>
      </c>
      <c r="C6" s="3" t="s">
        <v>83</v>
      </c>
      <c r="D6" s="3" t="s">
        <v>113</v>
      </c>
      <c r="E6" s="3">
        <v>317</v>
      </c>
      <c r="F6" s="3" t="s">
        <v>171</v>
      </c>
      <c r="G6" s="4" t="s">
        <v>527</v>
      </c>
      <c r="H6" s="4">
        <v>146</v>
      </c>
      <c r="I6" s="4">
        <v>171</v>
      </c>
      <c r="J6" s="3" t="s">
        <v>203</v>
      </c>
      <c r="K6" s="3" t="s">
        <v>17</v>
      </c>
      <c r="L6" s="3" t="s">
        <v>18</v>
      </c>
      <c r="M6" s="3" t="s">
        <v>304</v>
      </c>
      <c r="N6" s="3" t="s">
        <v>338</v>
      </c>
      <c r="O6" s="3" t="s">
        <v>338</v>
      </c>
      <c r="P6" s="3" t="s">
        <v>387</v>
      </c>
      <c r="Q6" s="3" t="s">
        <v>511</v>
      </c>
      <c r="R6" s="3" t="s">
        <v>522</v>
      </c>
      <c r="S6" s="5" t="s">
        <v>514</v>
      </c>
      <c r="T6" s="3" t="s">
        <v>429</v>
      </c>
    </row>
    <row r="7" spans="1:20" ht="142.5" x14ac:dyDescent="0.25">
      <c r="A7" s="3">
        <v>6</v>
      </c>
      <c r="B7" s="3" t="s">
        <v>44</v>
      </c>
      <c r="C7" s="3" t="s">
        <v>86</v>
      </c>
      <c r="D7" s="3" t="s">
        <v>110</v>
      </c>
      <c r="E7" s="3" t="s">
        <v>144</v>
      </c>
      <c r="F7" s="3" t="s">
        <v>172</v>
      </c>
      <c r="G7" s="4" t="s">
        <v>537</v>
      </c>
      <c r="H7" s="4" t="s">
        <v>537</v>
      </c>
      <c r="I7" s="4" t="s">
        <v>537</v>
      </c>
      <c r="J7" s="3" t="s">
        <v>202</v>
      </c>
      <c r="K7" s="3" t="s">
        <v>263</v>
      </c>
      <c r="L7" s="3" t="s">
        <v>273</v>
      </c>
      <c r="M7" s="3" t="s">
        <v>305</v>
      </c>
      <c r="N7" s="3" t="s">
        <v>340</v>
      </c>
      <c r="O7" s="3" t="s">
        <v>338</v>
      </c>
      <c r="P7" s="3" t="s">
        <v>388</v>
      </c>
      <c r="Q7" s="7" t="s">
        <v>510</v>
      </c>
      <c r="R7" s="3" t="s">
        <v>466</v>
      </c>
      <c r="S7" s="5" t="s">
        <v>515</v>
      </c>
      <c r="T7" s="3" t="s">
        <v>430</v>
      </c>
    </row>
    <row r="8" spans="1:20" ht="86.25" x14ac:dyDescent="0.25">
      <c r="A8" s="3">
        <v>7</v>
      </c>
      <c r="B8" s="5" t="s">
        <v>45</v>
      </c>
      <c r="C8" s="5" t="s">
        <v>87</v>
      </c>
      <c r="D8" s="5" t="s">
        <v>111</v>
      </c>
      <c r="E8" s="5" t="s">
        <v>145</v>
      </c>
      <c r="F8" s="5" t="s">
        <v>550</v>
      </c>
      <c r="G8" s="4" t="s">
        <v>1</v>
      </c>
      <c r="H8" s="4">
        <v>245</v>
      </c>
      <c r="I8" s="4">
        <v>75</v>
      </c>
      <c r="J8" s="5" t="s">
        <v>204</v>
      </c>
      <c r="K8" s="5" t="s">
        <v>264</v>
      </c>
      <c r="L8" s="5" t="s">
        <v>274</v>
      </c>
      <c r="M8" s="5" t="s">
        <v>306</v>
      </c>
      <c r="N8" s="5" t="s">
        <v>338</v>
      </c>
      <c r="O8" s="5" t="s">
        <v>338</v>
      </c>
      <c r="P8" s="5" t="s">
        <v>389</v>
      </c>
      <c r="Q8" s="5" t="s">
        <v>393</v>
      </c>
      <c r="R8" s="5" t="s">
        <v>522</v>
      </c>
      <c r="S8" s="5" t="s">
        <v>494</v>
      </c>
      <c r="T8" s="5" t="s">
        <v>431</v>
      </c>
    </row>
    <row r="9" spans="1:20" ht="114" x14ac:dyDescent="0.25">
      <c r="A9" s="3">
        <v>8</v>
      </c>
      <c r="B9" s="3" t="s">
        <v>46</v>
      </c>
      <c r="C9" s="3" t="s">
        <v>88</v>
      </c>
      <c r="D9" s="3" t="s">
        <v>114</v>
      </c>
      <c r="E9" s="3" t="s">
        <v>549</v>
      </c>
      <c r="F9" s="3" t="s">
        <v>173</v>
      </c>
      <c r="G9" s="4" t="s">
        <v>551</v>
      </c>
      <c r="H9" s="4">
        <v>335</v>
      </c>
      <c r="I9" s="4">
        <v>259</v>
      </c>
      <c r="J9" s="3" t="s">
        <v>205</v>
      </c>
      <c r="K9" s="3" t="s">
        <v>265</v>
      </c>
      <c r="L9" s="3" t="s">
        <v>275</v>
      </c>
      <c r="M9" s="3" t="s">
        <v>307</v>
      </c>
      <c r="N9" s="3" t="s">
        <v>338</v>
      </c>
      <c r="O9" s="3" t="s">
        <v>338</v>
      </c>
      <c r="P9" s="3" t="s">
        <v>390</v>
      </c>
      <c r="Q9" s="3" t="s">
        <v>394</v>
      </c>
      <c r="R9" s="3" t="s">
        <v>521</v>
      </c>
      <c r="S9" s="3" t="s">
        <v>518</v>
      </c>
      <c r="T9" s="3" t="s">
        <v>432</v>
      </c>
    </row>
    <row r="10" spans="1:20" ht="71.25" x14ac:dyDescent="0.25">
      <c r="A10" s="3">
        <v>9</v>
      </c>
      <c r="B10" s="3" t="s">
        <v>47</v>
      </c>
      <c r="C10" s="3" t="s">
        <v>83</v>
      </c>
      <c r="D10" s="3" t="s">
        <v>115</v>
      </c>
      <c r="E10" s="3" t="s">
        <v>146</v>
      </c>
      <c r="F10" s="3" t="s">
        <v>174</v>
      </c>
      <c r="G10" s="4" t="s">
        <v>11</v>
      </c>
      <c r="H10" s="4">
        <v>60</v>
      </c>
      <c r="I10" s="4">
        <v>54</v>
      </c>
      <c r="J10" s="3" t="s">
        <v>203</v>
      </c>
      <c r="K10" s="3" t="s">
        <v>266</v>
      </c>
      <c r="L10" s="3" t="s">
        <v>19</v>
      </c>
      <c r="M10" s="3" t="s">
        <v>308</v>
      </c>
      <c r="N10" s="3" t="s">
        <v>338</v>
      </c>
      <c r="O10" s="3" t="s">
        <v>338</v>
      </c>
      <c r="P10" s="3" t="s">
        <v>372</v>
      </c>
      <c r="Q10" s="3" t="s">
        <v>395</v>
      </c>
      <c r="R10" s="3" t="s">
        <v>522</v>
      </c>
      <c r="S10" s="5" t="s">
        <v>516</v>
      </c>
      <c r="T10" s="3" t="s">
        <v>433</v>
      </c>
    </row>
    <row r="11" spans="1:20" ht="100.5" x14ac:dyDescent="0.25">
      <c r="A11" s="3">
        <v>10</v>
      </c>
      <c r="B11" s="5" t="s">
        <v>48</v>
      </c>
      <c r="C11" s="5" t="s">
        <v>87</v>
      </c>
      <c r="D11" s="5" t="s">
        <v>116</v>
      </c>
      <c r="E11" s="5" t="s">
        <v>147</v>
      </c>
      <c r="F11" s="5" t="s">
        <v>175</v>
      </c>
      <c r="G11" s="4" t="s">
        <v>537</v>
      </c>
      <c r="H11" s="4" t="s">
        <v>537</v>
      </c>
      <c r="I11" s="4" t="s">
        <v>537</v>
      </c>
      <c r="J11" s="5" t="s">
        <v>202</v>
      </c>
      <c r="K11" s="5" t="s">
        <v>267</v>
      </c>
      <c r="L11" s="5" t="s">
        <v>276</v>
      </c>
      <c r="M11" s="5" t="s">
        <v>309</v>
      </c>
      <c r="N11" s="5" t="s">
        <v>498</v>
      </c>
      <c r="O11" s="5" t="s">
        <v>351</v>
      </c>
      <c r="P11" s="5" t="s">
        <v>391</v>
      </c>
      <c r="Q11" s="5" t="s">
        <v>396</v>
      </c>
      <c r="R11" s="5" t="s">
        <v>466</v>
      </c>
      <c r="S11" s="5" t="s">
        <v>517</v>
      </c>
      <c r="T11" s="5" t="s">
        <v>434</v>
      </c>
    </row>
    <row r="12" spans="1:20" ht="71.25" x14ac:dyDescent="0.25">
      <c r="A12" s="3">
        <v>11</v>
      </c>
      <c r="B12" s="3" t="s">
        <v>49</v>
      </c>
      <c r="C12" s="3" t="s">
        <v>89</v>
      </c>
      <c r="D12" s="3" t="s">
        <v>117</v>
      </c>
      <c r="E12" s="3" t="s">
        <v>548</v>
      </c>
      <c r="F12" s="3" t="s">
        <v>176</v>
      </c>
      <c r="G12" s="4" t="s">
        <v>10</v>
      </c>
      <c r="H12" s="4">
        <v>155</v>
      </c>
      <c r="I12" s="4">
        <v>105</v>
      </c>
      <c r="J12" s="3" t="s">
        <v>206</v>
      </c>
      <c r="K12" s="3" t="s">
        <v>558</v>
      </c>
      <c r="L12" s="5"/>
      <c r="M12" s="3" t="s">
        <v>310</v>
      </c>
      <c r="N12" s="3" t="s">
        <v>338</v>
      </c>
      <c r="O12" s="3" t="s">
        <v>338</v>
      </c>
      <c r="P12" s="3" t="s">
        <v>392</v>
      </c>
      <c r="Q12" s="3" t="s">
        <v>397</v>
      </c>
      <c r="R12" s="3" t="s">
        <v>466</v>
      </c>
      <c r="S12" s="3" t="s">
        <v>495</v>
      </c>
      <c r="T12" s="3" t="s">
        <v>435</v>
      </c>
    </row>
    <row r="13" spans="1:20" ht="57.75" x14ac:dyDescent="0.25">
      <c r="A13" s="3">
        <v>12</v>
      </c>
      <c r="B13" s="5" t="s">
        <v>50</v>
      </c>
      <c r="C13" s="5" t="s">
        <v>83</v>
      </c>
      <c r="D13" s="5" t="s">
        <v>118</v>
      </c>
      <c r="E13" s="5">
        <v>33</v>
      </c>
      <c r="F13" s="5" t="s">
        <v>177</v>
      </c>
      <c r="G13" s="4" t="s">
        <v>547</v>
      </c>
      <c r="H13" s="4">
        <v>21</v>
      </c>
      <c r="I13" s="4">
        <v>12</v>
      </c>
      <c r="J13" s="5" t="s">
        <v>207</v>
      </c>
      <c r="K13" s="5" t="s">
        <v>268</v>
      </c>
      <c r="L13" s="5"/>
      <c r="M13" s="5" t="s">
        <v>311</v>
      </c>
      <c r="N13" s="5" t="s">
        <v>338</v>
      </c>
      <c r="O13" s="5" t="s">
        <v>338</v>
      </c>
      <c r="P13" s="5" t="s">
        <v>363</v>
      </c>
      <c r="Q13" s="5" t="s">
        <v>398</v>
      </c>
      <c r="R13" s="5" t="s">
        <v>505</v>
      </c>
      <c r="S13" s="5" t="s">
        <v>468</v>
      </c>
      <c r="T13" s="5" t="s">
        <v>436</v>
      </c>
    </row>
    <row r="14" spans="1:20" ht="71.25" x14ac:dyDescent="0.25">
      <c r="A14" s="3">
        <v>13</v>
      </c>
      <c r="B14" s="3" t="s">
        <v>51</v>
      </c>
      <c r="C14" s="3" t="s">
        <v>90</v>
      </c>
      <c r="D14" s="3" t="s">
        <v>111</v>
      </c>
      <c r="E14" s="3" t="s">
        <v>148</v>
      </c>
      <c r="F14" s="3" t="s">
        <v>178</v>
      </c>
      <c r="G14" s="4" t="s">
        <v>4</v>
      </c>
      <c r="H14" s="4">
        <v>34</v>
      </c>
      <c r="I14" s="4">
        <v>103</v>
      </c>
      <c r="J14" s="3" t="s">
        <v>208</v>
      </c>
      <c r="K14" s="3" t="s">
        <v>269</v>
      </c>
      <c r="L14" s="5" t="s">
        <v>298</v>
      </c>
      <c r="M14" s="3" t="s">
        <v>312</v>
      </c>
      <c r="N14" s="3" t="s">
        <v>341</v>
      </c>
      <c r="O14" s="3" t="s">
        <v>338</v>
      </c>
      <c r="P14" s="3" t="s">
        <v>364</v>
      </c>
      <c r="Q14" s="3" t="s">
        <v>399</v>
      </c>
      <c r="R14" s="3" t="s">
        <v>522</v>
      </c>
      <c r="S14" s="3" t="s">
        <v>469</v>
      </c>
      <c r="T14" s="3" t="s">
        <v>437</v>
      </c>
    </row>
    <row r="15" spans="1:20" ht="128.25" x14ac:dyDescent="0.25">
      <c r="A15" s="3">
        <v>14</v>
      </c>
      <c r="B15" s="3" t="s">
        <v>52</v>
      </c>
      <c r="C15" s="3" t="s">
        <v>91</v>
      </c>
      <c r="D15" s="3" t="s">
        <v>119</v>
      </c>
      <c r="E15" s="3" t="s">
        <v>149</v>
      </c>
      <c r="F15" s="3" t="s">
        <v>179</v>
      </c>
      <c r="G15" s="4" t="s">
        <v>546</v>
      </c>
      <c r="H15" s="4">
        <v>107</v>
      </c>
      <c r="I15" s="4">
        <v>110</v>
      </c>
      <c r="J15" s="3" t="s">
        <v>209</v>
      </c>
      <c r="K15" s="3" t="s">
        <v>234</v>
      </c>
      <c r="L15" s="3" t="s">
        <v>277</v>
      </c>
      <c r="M15" s="3" t="s">
        <v>313</v>
      </c>
      <c r="N15" s="3" t="s">
        <v>338</v>
      </c>
      <c r="O15" s="3" t="s">
        <v>352</v>
      </c>
      <c r="P15" s="3" t="s">
        <v>365</v>
      </c>
      <c r="Q15" s="3" t="s">
        <v>400</v>
      </c>
      <c r="R15" s="3" t="s">
        <v>521</v>
      </c>
      <c r="S15" s="5" t="s">
        <v>32</v>
      </c>
      <c r="T15" s="3" t="s">
        <v>438</v>
      </c>
    </row>
    <row r="16" spans="1:20" ht="86.25" x14ac:dyDescent="0.25">
      <c r="A16" s="3">
        <v>15</v>
      </c>
      <c r="B16" s="5" t="s">
        <v>53</v>
      </c>
      <c r="C16" s="5" t="s">
        <v>83</v>
      </c>
      <c r="D16" s="5" t="s">
        <v>120</v>
      </c>
      <c r="E16" s="5" t="s">
        <v>150</v>
      </c>
      <c r="F16" s="5" t="s">
        <v>180</v>
      </c>
      <c r="G16" s="4" t="s">
        <v>545</v>
      </c>
      <c r="H16" s="4">
        <v>23</v>
      </c>
      <c r="I16" s="4">
        <v>17</v>
      </c>
      <c r="J16" s="5" t="s">
        <v>210</v>
      </c>
      <c r="K16" s="5" t="s">
        <v>235</v>
      </c>
      <c r="L16" s="5" t="s">
        <v>278</v>
      </c>
      <c r="M16" s="5" t="s">
        <v>314</v>
      </c>
      <c r="N16" s="5" t="s">
        <v>338</v>
      </c>
      <c r="O16" s="5" t="s">
        <v>353</v>
      </c>
      <c r="P16" s="5" t="s">
        <v>366</v>
      </c>
      <c r="Q16" s="5" t="s">
        <v>401</v>
      </c>
      <c r="R16" s="3" t="s">
        <v>505</v>
      </c>
      <c r="S16" s="5" t="s">
        <v>470</v>
      </c>
      <c r="T16" s="5" t="s">
        <v>439</v>
      </c>
    </row>
    <row r="17" spans="1:20" ht="72" x14ac:dyDescent="0.25">
      <c r="A17" s="3">
        <v>16</v>
      </c>
      <c r="B17" s="5" t="s">
        <v>54</v>
      </c>
      <c r="C17" s="5" t="s">
        <v>90</v>
      </c>
      <c r="D17" s="5" t="s">
        <v>121</v>
      </c>
      <c r="E17" s="5" t="s">
        <v>151</v>
      </c>
      <c r="F17" s="5" t="s">
        <v>181</v>
      </c>
      <c r="G17" s="4" t="s">
        <v>8</v>
      </c>
      <c r="H17" s="8">
        <v>27</v>
      </c>
      <c r="I17" s="4">
        <v>15</v>
      </c>
      <c r="J17" s="5" t="s">
        <v>211</v>
      </c>
      <c r="K17" s="5" t="s">
        <v>236</v>
      </c>
      <c r="L17" s="5" t="s">
        <v>42</v>
      </c>
      <c r="M17" s="5" t="s">
        <v>315</v>
      </c>
      <c r="N17" s="5" t="s">
        <v>338</v>
      </c>
      <c r="O17" s="5" t="s">
        <v>338</v>
      </c>
      <c r="P17" s="5" t="s">
        <v>367</v>
      </c>
      <c r="Q17" s="5" t="s">
        <v>402</v>
      </c>
      <c r="R17" s="5" t="s">
        <v>466</v>
      </c>
      <c r="S17" s="5" t="s">
        <v>471</v>
      </c>
      <c r="T17" s="5" t="s">
        <v>440</v>
      </c>
    </row>
    <row r="18" spans="1:20" ht="85.5" x14ac:dyDescent="0.25">
      <c r="A18" s="3">
        <v>17</v>
      </c>
      <c r="B18" s="3" t="s">
        <v>55</v>
      </c>
      <c r="C18" s="3" t="s">
        <v>92</v>
      </c>
      <c r="D18" s="3" t="s">
        <v>122</v>
      </c>
      <c r="E18" s="3" t="s">
        <v>152</v>
      </c>
      <c r="F18" s="3" t="s">
        <v>182</v>
      </c>
      <c r="G18" s="4" t="s">
        <v>537</v>
      </c>
      <c r="H18" s="4" t="s">
        <v>537</v>
      </c>
      <c r="I18" s="4" t="s">
        <v>537</v>
      </c>
      <c r="J18" s="3" t="s">
        <v>212</v>
      </c>
      <c r="K18" s="3" t="s">
        <v>237</v>
      </c>
      <c r="L18" s="3" t="s">
        <v>279</v>
      </c>
      <c r="M18" s="3" t="s">
        <v>316</v>
      </c>
      <c r="N18" s="3" t="s">
        <v>338</v>
      </c>
      <c r="O18" s="3" t="s">
        <v>354</v>
      </c>
      <c r="P18" s="3" t="s">
        <v>368</v>
      </c>
      <c r="Q18" s="3" t="s">
        <v>403</v>
      </c>
      <c r="R18" s="3" t="s">
        <v>522</v>
      </c>
      <c r="S18" s="3" t="s">
        <v>472</v>
      </c>
      <c r="T18" s="3" t="s">
        <v>441</v>
      </c>
    </row>
    <row r="19" spans="1:20" ht="99.75" x14ac:dyDescent="0.25">
      <c r="A19" s="3">
        <v>18</v>
      </c>
      <c r="B19" s="3" t="s">
        <v>56</v>
      </c>
      <c r="C19" s="3" t="s">
        <v>93</v>
      </c>
      <c r="D19" s="3" t="s">
        <v>123</v>
      </c>
      <c r="E19" s="3" t="s">
        <v>153</v>
      </c>
      <c r="F19" s="3" t="s">
        <v>544</v>
      </c>
      <c r="G19" s="4" t="s">
        <v>543</v>
      </c>
      <c r="H19" s="4">
        <v>403</v>
      </c>
      <c r="I19" s="4">
        <v>789</v>
      </c>
      <c r="J19" s="3" t="s">
        <v>213</v>
      </c>
      <c r="K19" s="3" t="s">
        <v>238</v>
      </c>
      <c r="L19" s="3" t="s">
        <v>280</v>
      </c>
      <c r="M19" s="3" t="s">
        <v>317</v>
      </c>
      <c r="N19" s="3" t="s">
        <v>338</v>
      </c>
      <c r="O19" s="3" t="s">
        <v>338</v>
      </c>
      <c r="P19" s="3" t="s">
        <v>369</v>
      </c>
      <c r="Q19" s="3" t="s">
        <v>404</v>
      </c>
      <c r="R19" s="3" t="s">
        <v>466</v>
      </c>
      <c r="S19" s="3" t="s">
        <v>473</v>
      </c>
      <c r="T19" s="3" t="s">
        <v>442</v>
      </c>
    </row>
    <row r="20" spans="1:20" ht="86.25" x14ac:dyDescent="0.25">
      <c r="A20" s="3">
        <v>19</v>
      </c>
      <c r="B20" s="5" t="s">
        <v>57</v>
      </c>
      <c r="C20" s="5" t="s">
        <v>94</v>
      </c>
      <c r="D20" s="5" t="s">
        <v>110</v>
      </c>
      <c r="E20" s="5" t="s">
        <v>154</v>
      </c>
      <c r="F20" s="5" t="s">
        <v>528</v>
      </c>
      <c r="G20" s="4" t="s">
        <v>12</v>
      </c>
      <c r="H20" s="4">
        <v>38</v>
      </c>
      <c r="I20" s="4">
        <v>42</v>
      </c>
      <c r="J20" s="5" t="s">
        <v>214</v>
      </c>
      <c r="K20" s="5" t="s">
        <v>33</v>
      </c>
      <c r="L20" s="5" t="s">
        <v>281</v>
      </c>
      <c r="M20" s="5" t="s">
        <v>318</v>
      </c>
      <c r="N20" s="5" t="s">
        <v>342</v>
      </c>
      <c r="O20" s="5" t="s">
        <v>355</v>
      </c>
      <c r="P20" s="5" t="s">
        <v>370</v>
      </c>
      <c r="Q20" s="5" t="s">
        <v>405</v>
      </c>
      <c r="R20" s="5" t="s">
        <v>522</v>
      </c>
      <c r="S20" s="5" t="s">
        <v>474</v>
      </c>
      <c r="T20" s="5" t="s">
        <v>443</v>
      </c>
    </row>
    <row r="21" spans="1:20" ht="85.5" x14ac:dyDescent="0.25">
      <c r="A21" s="3">
        <v>20</v>
      </c>
      <c r="B21" s="3" t="s">
        <v>58</v>
      </c>
      <c r="C21" s="3" t="s">
        <v>95</v>
      </c>
      <c r="D21" s="3" t="s">
        <v>124</v>
      </c>
      <c r="E21" s="3" t="s">
        <v>155</v>
      </c>
      <c r="F21" s="3" t="s">
        <v>183</v>
      </c>
      <c r="G21" s="4" t="s">
        <v>2</v>
      </c>
      <c r="H21" s="4">
        <v>60</v>
      </c>
      <c r="I21" s="4">
        <v>27</v>
      </c>
      <c r="J21" s="3" t="s">
        <v>215</v>
      </c>
      <c r="K21" s="3" t="s">
        <v>239</v>
      </c>
      <c r="L21" s="3" t="s">
        <v>282</v>
      </c>
      <c r="M21" s="3" t="s">
        <v>319</v>
      </c>
      <c r="N21" s="3" t="s">
        <v>338</v>
      </c>
      <c r="O21" s="3" t="s">
        <v>356</v>
      </c>
      <c r="P21" s="3" t="s">
        <v>371</v>
      </c>
      <c r="Q21" s="3" t="s">
        <v>406</v>
      </c>
      <c r="R21" s="3" t="s">
        <v>522</v>
      </c>
      <c r="S21" s="3" t="s">
        <v>475</v>
      </c>
      <c r="T21" s="3" t="s">
        <v>444</v>
      </c>
    </row>
    <row r="22" spans="1:20" ht="114" x14ac:dyDescent="0.25">
      <c r="A22" s="3">
        <v>21</v>
      </c>
      <c r="B22" s="3" t="s">
        <v>59</v>
      </c>
      <c r="C22" s="3" t="s">
        <v>96</v>
      </c>
      <c r="D22" s="3" t="s">
        <v>125</v>
      </c>
      <c r="E22" s="3" t="s">
        <v>156</v>
      </c>
      <c r="F22" s="3" t="s">
        <v>184</v>
      </c>
      <c r="G22" s="4" t="s">
        <v>3</v>
      </c>
      <c r="H22" s="4">
        <v>136</v>
      </c>
      <c r="I22" s="4">
        <v>195</v>
      </c>
      <c r="J22" s="3" t="s">
        <v>216</v>
      </c>
      <c r="K22" s="3" t="s">
        <v>240</v>
      </c>
      <c r="L22" s="3" t="s">
        <v>34</v>
      </c>
      <c r="M22" s="3" t="s">
        <v>320</v>
      </c>
      <c r="N22" s="3" t="s">
        <v>338</v>
      </c>
      <c r="O22" s="3" t="s">
        <v>338</v>
      </c>
      <c r="P22" s="3" t="s">
        <v>372</v>
      </c>
      <c r="Q22" s="3" t="s">
        <v>407</v>
      </c>
      <c r="R22" s="3" t="s">
        <v>505</v>
      </c>
      <c r="S22" s="3" t="s">
        <v>476</v>
      </c>
      <c r="T22" s="3" t="s">
        <v>445</v>
      </c>
    </row>
    <row r="23" spans="1:20" ht="100.5" x14ac:dyDescent="0.25">
      <c r="A23" s="3">
        <v>22</v>
      </c>
      <c r="B23" s="5" t="s">
        <v>60</v>
      </c>
      <c r="C23" s="5" t="s">
        <v>97</v>
      </c>
      <c r="D23" s="5" t="s">
        <v>126</v>
      </c>
      <c r="E23" s="5">
        <v>591</v>
      </c>
      <c r="F23" s="5" t="s">
        <v>185</v>
      </c>
      <c r="G23" s="4" t="s">
        <v>529</v>
      </c>
      <c r="H23" s="4" t="s">
        <v>537</v>
      </c>
      <c r="I23" s="4" t="s">
        <v>537</v>
      </c>
      <c r="J23" s="5" t="s">
        <v>217</v>
      </c>
      <c r="K23" s="5" t="s">
        <v>241</v>
      </c>
      <c r="L23" s="5" t="s">
        <v>35</v>
      </c>
      <c r="M23" s="5" t="s">
        <v>321</v>
      </c>
      <c r="N23" s="5" t="s">
        <v>338</v>
      </c>
      <c r="O23" s="5" t="s">
        <v>338</v>
      </c>
      <c r="P23" s="5" t="s">
        <v>372</v>
      </c>
      <c r="Q23" s="5" t="s">
        <v>408</v>
      </c>
      <c r="R23" s="5" t="s">
        <v>466</v>
      </c>
      <c r="S23" s="5" t="s">
        <v>477</v>
      </c>
      <c r="T23" s="5" t="s">
        <v>446</v>
      </c>
    </row>
    <row r="24" spans="1:20" ht="86.25" x14ac:dyDescent="0.25">
      <c r="A24" s="3">
        <v>23</v>
      </c>
      <c r="B24" s="5" t="s">
        <v>61</v>
      </c>
      <c r="C24" s="5" t="s">
        <v>91</v>
      </c>
      <c r="D24" s="5" t="s">
        <v>127</v>
      </c>
      <c r="E24" s="5">
        <v>300</v>
      </c>
      <c r="F24" s="5" t="s">
        <v>186</v>
      </c>
      <c r="G24" s="4" t="s">
        <v>13</v>
      </c>
      <c r="H24" s="4" t="s">
        <v>537</v>
      </c>
      <c r="I24" s="4" t="s">
        <v>537</v>
      </c>
      <c r="J24" s="5" t="s">
        <v>218</v>
      </c>
      <c r="K24" s="5" t="s">
        <v>242</v>
      </c>
      <c r="L24" s="5" t="s">
        <v>283</v>
      </c>
      <c r="M24" s="5" t="s">
        <v>322</v>
      </c>
      <c r="N24" s="5" t="s">
        <v>338</v>
      </c>
      <c r="O24" s="5" t="s">
        <v>338</v>
      </c>
      <c r="P24" s="5" t="s">
        <v>373</v>
      </c>
      <c r="Q24" s="5" t="s">
        <v>409</v>
      </c>
      <c r="R24" s="5" t="s">
        <v>466</v>
      </c>
      <c r="S24" s="3" t="s">
        <v>519</v>
      </c>
      <c r="T24" s="5" t="s">
        <v>447</v>
      </c>
    </row>
    <row r="25" spans="1:20" ht="85.5" x14ac:dyDescent="0.25">
      <c r="A25" s="3">
        <v>24</v>
      </c>
      <c r="B25" s="3" t="s">
        <v>62</v>
      </c>
      <c r="C25" s="3" t="s">
        <v>87</v>
      </c>
      <c r="D25" s="3" t="s">
        <v>128</v>
      </c>
      <c r="E25" s="3">
        <v>160</v>
      </c>
      <c r="F25" s="3" t="s">
        <v>187</v>
      </c>
      <c r="G25" s="4" t="s">
        <v>5</v>
      </c>
      <c r="H25" s="4">
        <v>112</v>
      </c>
      <c r="I25" s="4">
        <v>48</v>
      </c>
      <c r="J25" s="3" t="s">
        <v>219</v>
      </c>
      <c r="K25" s="3" t="s">
        <v>243</v>
      </c>
      <c r="L25" s="3" t="s">
        <v>283</v>
      </c>
      <c r="M25" s="3" t="s">
        <v>323</v>
      </c>
      <c r="N25" s="3" t="s">
        <v>338</v>
      </c>
      <c r="O25" s="3" t="s">
        <v>338</v>
      </c>
      <c r="P25" s="3" t="s">
        <v>374</v>
      </c>
      <c r="Q25" s="3" t="s">
        <v>410</v>
      </c>
      <c r="R25" s="3" t="s">
        <v>466</v>
      </c>
      <c r="S25" s="3" t="s">
        <v>478</v>
      </c>
      <c r="T25" s="3" t="s">
        <v>448</v>
      </c>
    </row>
    <row r="26" spans="1:20" ht="71.25" x14ac:dyDescent="0.25">
      <c r="A26" s="3">
        <v>25</v>
      </c>
      <c r="B26" s="3" t="s">
        <v>63</v>
      </c>
      <c r="C26" s="3" t="s">
        <v>98</v>
      </c>
      <c r="D26" s="3" t="s">
        <v>110</v>
      </c>
      <c r="E26" s="3">
        <v>162</v>
      </c>
      <c r="F26" s="3" t="s">
        <v>188</v>
      </c>
      <c r="G26" s="4" t="s">
        <v>537</v>
      </c>
      <c r="H26" s="4" t="s">
        <v>537</v>
      </c>
      <c r="I26" s="4" t="s">
        <v>537</v>
      </c>
      <c r="J26" s="3" t="s">
        <v>220</v>
      </c>
      <c r="K26" s="3" t="s">
        <v>244</v>
      </c>
      <c r="L26" s="3" t="s">
        <v>284</v>
      </c>
      <c r="M26" s="3" t="s">
        <v>324</v>
      </c>
      <c r="N26" s="3" t="s">
        <v>338</v>
      </c>
      <c r="O26" s="3" t="s">
        <v>351</v>
      </c>
      <c r="P26" s="3" t="s">
        <v>374</v>
      </c>
      <c r="Q26" s="3" t="s">
        <v>411</v>
      </c>
      <c r="R26" s="3" t="s">
        <v>466</v>
      </c>
      <c r="S26" s="3" t="s">
        <v>479</v>
      </c>
      <c r="T26" s="3" t="s">
        <v>449</v>
      </c>
    </row>
    <row r="27" spans="1:20" ht="114.75" x14ac:dyDescent="0.25">
      <c r="A27" s="3">
        <v>26</v>
      </c>
      <c r="B27" s="5" t="s">
        <v>64</v>
      </c>
      <c r="C27" s="5" t="s">
        <v>99</v>
      </c>
      <c r="D27" s="5" t="s">
        <v>129</v>
      </c>
      <c r="E27" s="5" t="s">
        <v>542</v>
      </c>
      <c r="F27" s="5" t="s">
        <v>556</v>
      </c>
      <c r="G27" s="4" t="s">
        <v>541</v>
      </c>
      <c r="H27" s="4" t="s">
        <v>555</v>
      </c>
      <c r="I27" s="4" t="s">
        <v>554</v>
      </c>
      <c r="J27" s="5" t="s">
        <v>221</v>
      </c>
      <c r="K27" s="5" t="s">
        <v>245</v>
      </c>
      <c r="L27" s="5" t="s">
        <v>285</v>
      </c>
      <c r="M27" s="5" t="s">
        <v>325</v>
      </c>
      <c r="N27" s="5" t="s">
        <v>343</v>
      </c>
      <c r="O27" s="5" t="s">
        <v>357</v>
      </c>
      <c r="P27" s="5" t="s">
        <v>375</v>
      </c>
      <c r="Q27" s="5" t="s">
        <v>412</v>
      </c>
      <c r="R27" s="5" t="s">
        <v>466</v>
      </c>
      <c r="S27" s="5" t="s">
        <v>480</v>
      </c>
      <c r="T27" s="5" t="s">
        <v>450</v>
      </c>
    </row>
    <row r="28" spans="1:20" ht="156.75" x14ac:dyDescent="0.25">
      <c r="A28" s="3">
        <v>27</v>
      </c>
      <c r="B28" s="3" t="s">
        <v>65</v>
      </c>
      <c r="C28" s="3" t="s">
        <v>91</v>
      </c>
      <c r="D28" s="3" t="s">
        <v>130</v>
      </c>
      <c r="E28" s="3" t="s">
        <v>157</v>
      </c>
      <c r="F28" s="3" t="s">
        <v>189</v>
      </c>
      <c r="G28" s="4" t="s">
        <v>9</v>
      </c>
      <c r="H28" s="4">
        <v>71</v>
      </c>
      <c r="I28" s="4">
        <v>73</v>
      </c>
      <c r="J28" s="3" t="s">
        <v>222</v>
      </c>
      <c r="K28" s="3" t="s">
        <v>246</v>
      </c>
      <c r="L28" s="3" t="s">
        <v>286</v>
      </c>
      <c r="M28" s="3" t="s">
        <v>326</v>
      </c>
      <c r="N28" s="3" t="s">
        <v>338</v>
      </c>
      <c r="O28" s="3" t="s">
        <v>338</v>
      </c>
      <c r="P28" s="3" t="s">
        <v>376</v>
      </c>
      <c r="Q28" s="3" t="s">
        <v>36</v>
      </c>
      <c r="R28" s="5" t="s">
        <v>466</v>
      </c>
      <c r="S28" s="3" t="s">
        <v>481</v>
      </c>
      <c r="T28" s="3" t="s">
        <v>451</v>
      </c>
    </row>
    <row r="29" spans="1:20" ht="71.25" x14ac:dyDescent="0.25">
      <c r="A29" s="3">
        <v>28</v>
      </c>
      <c r="B29" s="3" t="s">
        <v>66</v>
      </c>
      <c r="C29" s="3" t="s">
        <v>100</v>
      </c>
      <c r="D29" s="3" t="s">
        <v>128</v>
      </c>
      <c r="E29" s="3" t="s">
        <v>158</v>
      </c>
      <c r="F29" s="3" t="s">
        <v>190</v>
      </c>
      <c r="G29" s="4" t="s">
        <v>530</v>
      </c>
      <c r="H29" s="4">
        <v>55</v>
      </c>
      <c r="I29" s="4">
        <v>40</v>
      </c>
      <c r="J29" s="3" t="s">
        <v>223</v>
      </c>
      <c r="K29" s="3" t="s">
        <v>247</v>
      </c>
      <c r="L29" s="3" t="s">
        <v>283</v>
      </c>
      <c r="M29" s="3" t="s">
        <v>327</v>
      </c>
      <c r="N29" s="3" t="s">
        <v>338</v>
      </c>
      <c r="O29" s="3" t="s">
        <v>338</v>
      </c>
      <c r="P29" s="3" t="s">
        <v>372</v>
      </c>
      <c r="Q29" s="3" t="s">
        <v>413</v>
      </c>
      <c r="R29" s="3" t="s">
        <v>466</v>
      </c>
      <c r="S29" s="3" t="s">
        <v>482</v>
      </c>
      <c r="T29" s="3" t="s">
        <v>452</v>
      </c>
    </row>
    <row r="30" spans="1:20" ht="71.25" x14ac:dyDescent="0.25">
      <c r="A30" s="3">
        <v>29</v>
      </c>
      <c r="B30" s="3" t="s">
        <v>67</v>
      </c>
      <c r="C30" s="3" t="s">
        <v>101</v>
      </c>
      <c r="D30" s="3" t="s">
        <v>131</v>
      </c>
      <c r="E30" s="3" t="s">
        <v>497</v>
      </c>
      <c r="F30" s="3" t="s">
        <v>191</v>
      </c>
      <c r="G30" s="4" t="s">
        <v>540</v>
      </c>
      <c r="H30" s="4" t="s">
        <v>537</v>
      </c>
      <c r="I30" s="4" t="s">
        <v>537</v>
      </c>
      <c r="J30" s="3" t="s">
        <v>202</v>
      </c>
      <c r="K30" s="3" t="s">
        <v>248</v>
      </c>
      <c r="L30" s="3" t="s">
        <v>287</v>
      </c>
      <c r="M30" s="3" t="s">
        <v>328</v>
      </c>
      <c r="N30" s="3" t="s">
        <v>499</v>
      </c>
      <c r="O30" s="3" t="s">
        <v>338</v>
      </c>
      <c r="P30" s="3" t="s">
        <v>283</v>
      </c>
      <c r="Q30" s="3" t="s">
        <v>414</v>
      </c>
      <c r="R30" s="3" t="s">
        <v>522</v>
      </c>
      <c r="S30" s="3" t="s">
        <v>483</v>
      </c>
      <c r="T30" s="3" t="s">
        <v>453</v>
      </c>
    </row>
    <row r="31" spans="1:20" ht="86.25" x14ac:dyDescent="0.25">
      <c r="A31" s="3">
        <v>30</v>
      </c>
      <c r="B31" s="5" t="s">
        <v>68</v>
      </c>
      <c r="C31" s="5" t="s">
        <v>102</v>
      </c>
      <c r="D31" s="5" t="s">
        <v>110</v>
      </c>
      <c r="E31" s="5">
        <v>515</v>
      </c>
      <c r="F31" s="5" t="s">
        <v>192</v>
      </c>
      <c r="G31" s="4" t="s">
        <v>6</v>
      </c>
      <c r="H31" s="4">
        <v>288</v>
      </c>
      <c r="I31" s="4">
        <v>227</v>
      </c>
      <c r="J31" s="5" t="s">
        <v>224</v>
      </c>
      <c r="K31" s="5" t="s">
        <v>249</v>
      </c>
      <c r="L31" s="5" t="s">
        <v>288</v>
      </c>
      <c r="M31" s="5" t="s">
        <v>329</v>
      </c>
      <c r="N31" s="5" t="s">
        <v>338</v>
      </c>
      <c r="O31" s="5" t="s">
        <v>338</v>
      </c>
      <c r="P31" s="5" t="s">
        <v>377</v>
      </c>
      <c r="Q31" s="5" t="s">
        <v>415</v>
      </c>
      <c r="R31" s="5" t="s">
        <v>522</v>
      </c>
      <c r="S31" s="5" t="s">
        <v>484</v>
      </c>
      <c r="T31" s="5" t="s">
        <v>454</v>
      </c>
    </row>
    <row r="32" spans="1:20" ht="129" x14ac:dyDescent="0.25">
      <c r="A32" s="3">
        <v>31</v>
      </c>
      <c r="B32" s="5" t="s">
        <v>69</v>
      </c>
      <c r="C32" s="5" t="s">
        <v>103</v>
      </c>
      <c r="D32" s="5" t="s">
        <v>132</v>
      </c>
      <c r="E32" s="5" t="s">
        <v>159</v>
      </c>
      <c r="F32" s="5" t="s">
        <v>193</v>
      </c>
      <c r="G32" s="4" t="s">
        <v>536</v>
      </c>
      <c r="H32" s="4" t="s">
        <v>537</v>
      </c>
      <c r="I32" s="4" t="s">
        <v>537</v>
      </c>
      <c r="J32" s="5" t="s">
        <v>225</v>
      </c>
      <c r="K32" s="5" t="s">
        <v>250</v>
      </c>
      <c r="L32" s="5" t="s">
        <v>289</v>
      </c>
      <c r="M32" s="5" t="s">
        <v>330</v>
      </c>
      <c r="N32" s="5" t="s">
        <v>344</v>
      </c>
      <c r="O32" s="5" t="s">
        <v>338</v>
      </c>
      <c r="P32" s="5" t="s">
        <v>378</v>
      </c>
      <c r="Q32" s="5" t="s">
        <v>416</v>
      </c>
      <c r="R32" s="5" t="s">
        <v>506</v>
      </c>
      <c r="S32" s="5" t="s">
        <v>485</v>
      </c>
      <c r="T32" s="5" t="s">
        <v>455</v>
      </c>
    </row>
    <row r="33" spans="1:20" ht="100.5" x14ac:dyDescent="0.25">
      <c r="A33" s="3">
        <v>32</v>
      </c>
      <c r="B33" s="5" t="s">
        <v>70</v>
      </c>
      <c r="C33" s="5" t="s">
        <v>104</v>
      </c>
      <c r="D33" s="5" t="s">
        <v>133</v>
      </c>
      <c r="E33" s="5" t="s">
        <v>160</v>
      </c>
      <c r="F33" s="5" t="s">
        <v>538</v>
      </c>
      <c r="G33" s="4" t="s">
        <v>537</v>
      </c>
      <c r="H33" s="4" t="s">
        <v>537</v>
      </c>
      <c r="I33" s="4" t="s">
        <v>537</v>
      </c>
      <c r="J33" s="5" t="s">
        <v>202</v>
      </c>
      <c r="K33" s="5" t="s">
        <v>251</v>
      </c>
      <c r="L33" s="5" t="s">
        <v>290</v>
      </c>
      <c r="M33" s="5" t="s">
        <v>300</v>
      </c>
      <c r="N33" s="5" t="s">
        <v>338</v>
      </c>
      <c r="O33" s="5" t="s">
        <v>338</v>
      </c>
      <c r="P33" s="5" t="s">
        <v>379</v>
      </c>
      <c r="Q33" s="5" t="s">
        <v>417</v>
      </c>
      <c r="R33" s="5" t="s">
        <v>501</v>
      </c>
      <c r="S33" s="5" t="s">
        <v>486</v>
      </c>
      <c r="T33" s="5" t="s">
        <v>456</v>
      </c>
    </row>
    <row r="34" spans="1:20" ht="71.25" x14ac:dyDescent="0.25">
      <c r="A34" s="3">
        <v>33</v>
      </c>
      <c r="B34" s="3" t="s">
        <v>71</v>
      </c>
      <c r="C34" s="3" t="s">
        <v>105</v>
      </c>
      <c r="D34" s="3" t="s">
        <v>124</v>
      </c>
      <c r="E34" s="3" t="s">
        <v>161</v>
      </c>
      <c r="F34" s="3" t="s">
        <v>194</v>
      </c>
      <c r="G34" s="4" t="s">
        <v>539</v>
      </c>
      <c r="H34" s="4">
        <v>58</v>
      </c>
      <c r="I34" s="4">
        <v>332</v>
      </c>
      <c r="J34" s="3" t="s">
        <v>226</v>
      </c>
      <c r="K34" s="3" t="s">
        <v>252</v>
      </c>
      <c r="L34" s="3" t="s">
        <v>291</v>
      </c>
      <c r="M34" s="3" t="s">
        <v>300</v>
      </c>
      <c r="N34" s="3" t="s">
        <v>338</v>
      </c>
      <c r="O34" s="3" t="s">
        <v>338</v>
      </c>
      <c r="P34" s="3" t="s">
        <v>380</v>
      </c>
      <c r="Q34" s="3" t="s">
        <v>418</v>
      </c>
      <c r="R34" s="3" t="s">
        <v>522</v>
      </c>
      <c r="S34" s="3" t="s">
        <v>487</v>
      </c>
      <c r="T34" s="3" t="s">
        <v>457</v>
      </c>
    </row>
    <row r="35" spans="1:20" ht="114.75" x14ac:dyDescent="0.25">
      <c r="A35" s="3">
        <v>34</v>
      </c>
      <c r="B35" s="5" t="s">
        <v>72</v>
      </c>
      <c r="C35" s="5" t="s">
        <v>87</v>
      </c>
      <c r="D35" s="5" t="s">
        <v>134</v>
      </c>
      <c r="E35" s="5" t="s">
        <v>162</v>
      </c>
      <c r="F35" s="5" t="s">
        <v>560</v>
      </c>
      <c r="G35" s="4" t="s">
        <v>535</v>
      </c>
      <c r="H35" s="4">
        <v>21</v>
      </c>
      <c r="I35" s="4">
        <v>8</v>
      </c>
      <c r="J35" s="5" t="s">
        <v>227</v>
      </c>
      <c r="K35" s="5" t="s">
        <v>253</v>
      </c>
      <c r="L35" s="5" t="s">
        <v>292</v>
      </c>
      <c r="M35" s="5" t="s">
        <v>331</v>
      </c>
      <c r="N35" s="5" t="s">
        <v>338</v>
      </c>
      <c r="O35" s="5" t="s">
        <v>358</v>
      </c>
      <c r="P35" s="5" t="s">
        <v>283</v>
      </c>
      <c r="Q35" s="5" t="s">
        <v>419</v>
      </c>
      <c r="R35" s="5" t="s">
        <v>504</v>
      </c>
      <c r="S35" s="5" t="s">
        <v>488</v>
      </c>
      <c r="T35" s="5" t="s">
        <v>458</v>
      </c>
    </row>
    <row r="36" spans="1:20" ht="142.5" x14ac:dyDescent="0.25">
      <c r="A36" s="3">
        <v>35</v>
      </c>
      <c r="B36" s="3" t="s">
        <v>73</v>
      </c>
      <c r="C36" s="3" t="s">
        <v>420</v>
      </c>
      <c r="D36" s="3" t="s">
        <v>135</v>
      </c>
      <c r="E36" s="3" t="s">
        <v>163</v>
      </c>
      <c r="F36" s="3" t="s">
        <v>195</v>
      </c>
      <c r="G36" s="9" t="s">
        <v>559</v>
      </c>
      <c r="H36" s="3">
        <v>48</v>
      </c>
      <c r="I36" s="3">
        <v>101</v>
      </c>
      <c r="J36" s="3" t="s">
        <v>228</v>
      </c>
      <c r="K36" s="3" t="s">
        <v>254</v>
      </c>
      <c r="L36" s="3" t="s">
        <v>293</v>
      </c>
      <c r="M36" s="3" t="s">
        <v>332</v>
      </c>
      <c r="N36" s="3" t="s">
        <v>338</v>
      </c>
      <c r="O36" s="3" t="s">
        <v>351</v>
      </c>
      <c r="P36" s="3" t="s">
        <v>381</v>
      </c>
      <c r="Q36" s="3" t="s">
        <v>421</v>
      </c>
      <c r="R36" s="3" t="s">
        <v>466</v>
      </c>
      <c r="S36" s="3" t="s">
        <v>37</v>
      </c>
      <c r="T36" s="3" t="s">
        <v>459</v>
      </c>
    </row>
    <row r="37" spans="1:20" ht="157.5" x14ac:dyDescent="0.25">
      <c r="A37" s="3">
        <v>36</v>
      </c>
      <c r="B37" s="3" t="s">
        <v>74</v>
      </c>
      <c r="C37" s="3" t="s">
        <v>106</v>
      </c>
      <c r="D37" s="3" t="s">
        <v>136</v>
      </c>
      <c r="E37" s="5" t="s">
        <v>164</v>
      </c>
      <c r="F37" s="5" t="s">
        <v>196</v>
      </c>
      <c r="G37" s="5" t="s">
        <v>534</v>
      </c>
      <c r="H37" s="5">
        <v>254</v>
      </c>
      <c r="I37" s="5">
        <v>259</v>
      </c>
      <c r="J37" s="3" t="s">
        <v>229</v>
      </c>
      <c r="K37" s="5" t="s">
        <v>255</v>
      </c>
      <c r="L37" s="5" t="s">
        <v>294</v>
      </c>
      <c r="M37" s="5" t="s">
        <v>333</v>
      </c>
      <c r="N37" s="5" t="s">
        <v>345</v>
      </c>
      <c r="O37" s="5" t="s">
        <v>359</v>
      </c>
      <c r="P37" s="5" t="s">
        <v>382</v>
      </c>
      <c r="Q37" s="3" t="s">
        <v>38</v>
      </c>
      <c r="R37" s="3" t="s">
        <v>503</v>
      </c>
      <c r="S37" s="3" t="s">
        <v>489</v>
      </c>
      <c r="T37" s="3" t="s">
        <v>39</v>
      </c>
    </row>
    <row r="38" spans="1:20" ht="85.5" x14ac:dyDescent="0.25">
      <c r="A38" s="3">
        <v>37</v>
      </c>
      <c r="B38" s="3" t="s">
        <v>75</v>
      </c>
      <c r="C38" s="3" t="s">
        <v>98</v>
      </c>
      <c r="D38" s="3" t="s">
        <v>137</v>
      </c>
      <c r="E38" s="3" t="s">
        <v>165</v>
      </c>
      <c r="F38" s="3" t="s">
        <v>197</v>
      </c>
      <c r="G38" s="3" t="s">
        <v>533</v>
      </c>
      <c r="H38" s="3">
        <v>255</v>
      </c>
      <c r="I38" s="3">
        <v>395</v>
      </c>
      <c r="J38" s="3" t="s">
        <v>230</v>
      </c>
      <c r="K38" s="3" t="s">
        <v>256</v>
      </c>
      <c r="L38" s="3" t="s">
        <v>295</v>
      </c>
      <c r="M38" s="3" t="s">
        <v>334</v>
      </c>
      <c r="N38" s="3" t="s">
        <v>346</v>
      </c>
      <c r="O38" s="3" t="s">
        <v>338</v>
      </c>
      <c r="P38" s="3" t="s">
        <v>507</v>
      </c>
      <c r="Q38" s="3" t="s">
        <v>422</v>
      </c>
      <c r="R38" s="3" t="s">
        <v>466</v>
      </c>
      <c r="S38" s="3" t="s">
        <v>490</v>
      </c>
      <c r="T38" s="3" t="s">
        <v>460</v>
      </c>
    </row>
    <row r="39" spans="1:20" ht="114" x14ac:dyDescent="0.25">
      <c r="A39" s="3">
        <v>38</v>
      </c>
      <c r="B39" s="3" t="s">
        <v>76</v>
      </c>
      <c r="C39" s="3" t="s">
        <v>107</v>
      </c>
      <c r="D39" s="3" t="s">
        <v>138</v>
      </c>
      <c r="E39" s="3" t="s">
        <v>166</v>
      </c>
      <c r="F39" s="3" t="s">
        <v>531</v>
      </c>
      <c r="G39" s="10" t="s">
        <v>532</v>
      </c>
      <c r="H39" s="3">
        <v>148</v>
      </c>
      <c r="I39" s="3">
        <v>201</v>
      </c>
      <c r="J39" s="3" t="s">
        <v>231</v>
      </c>
      <c r="K39" s="3" t="s">
        <v>40</v>
      </c>
      <c r="L39" s="3" t="s">
        <v>299</v>
      </c>
      <c r="M39" s="3" t="s">
        <v>335</v>
      </c>
      <c r="N39" s="3" t="s">
        <v>347</v>
      </c>
      <c r="O39" s="3" t="s">
        <v>360</v>
      </c>
      <c r="P39" s="3" t="s">
        <v>383</v>
      </c>
      <c r="Q39" s="3" t="s">
        <v>423</v>
      </c>
      <c r="R39" s="3" t="s">
        <v>467</v>
      </c>
      <c r="S39" s="3" t="s">
        <v>491</v>
      </c>
      <c r="T39" s="3" t="s">
        <v>461</v>
      </c>
    </row>
    <row r="40" spans="1:20" ht="99.75" x14ac:dyDescent="0.25">
      <c r="A40" s="3">
        <v>39</v>
      </c>
      <c r="B40" s="3" t="s">
        <v>77</v>
      </c>
      <c r="C40" s="3" t="s">
        <v>98</v>
      </c>
      <c r="D40" s="3" t="s">
        <v>139</v>
      </c>
      <c r="E40" s="3" t="s">
        <v>167</v>
      </c>
      <c r="F40" s="3" t="s">
        <v>198</v>
      </c>
      <c r="G40" s="10" t="s">
        <v>526</v>
      </c>
      <c r="H40" s="3">
        <v>81</v>
      </c>
      <c r="I40" s="3">
        <v>115</v>
      </c>
      <c r="J40" s="3" t="s">
        <v>232</v>
      </c>
      <c r="K40" s="3" t="s">
        <v>257</v>
      </c>
      <c r="L40" s="5"/>
      <c r="M40" s="3" t="s">
        <v>336</v>
      </c>
      <c r="N40" s="3" t="s">
        <v>338</v>
      </c>
      <c r="O40" s="3" t="s">
        <v>361</v>
      </c>
      <c r="P40" s="3" t="s">
        <v>384</v>
      </c>
      <c r="Q40" s="3" t="s">
        <v>424</v>
      </c>
      <c r="R40" s="3" t="s">
        <v>502</v>
      </c>
      <c r="S40" s="3" t="s">
        <v>492</v>
      </c>
      <c r="T40" s="3" t="s">
        <v>462</v>
      </c>
    </row>
    <row r="41" spans="1:20" ht="99.75" x14ac:dyDescent="0.25">
      <c r="A41" s="3">
        <v>40</v>
      </c>
      <c r="B41" s="3" t="s">
        <v>78</v>
      </c>
      <c r="C41" s="3" t="s">
        <v>108</v>
      </c>
      <c r="D41" s="3" t="s">
        <v>140</v>
      </c>
      <c r="E41" s="3" t="s">
        <v>141</v>
      </c>
      <c r="F41" s="3" t="s">
        <v>199</v>
      </c>
      <c r="G41" s="3" t="s">
        <v>525</v>
      </c>
      <c r="H41" s="3">
        <v>938</v>
      </c>
      <c r="I41" s="3">
        <v>938</v>
      </c>
      <c r="J41" s="3" t="s">
        <v>233</v>
      </c>
      <c r="K41" s="3" t="s">
        <v>258</v>
      </c>
      <c r="L41" s="5"/>
      <c r="M41" s="3" t="s">
        <v>337</v>
      </c>
      <c r="N41" s="3" t="s">
        <v>348</v>
      </c>
      <c r="O41" s="3" t="s">
        <v>338</v>
      </c>
      <c r="P41" s="3" t="s">
        <v>41</v>
      </c>
      <c r="Q41" s="3" t="s">
        <v>425</v>
      </c>
      <c r="R41" s="3" t="s">
        <v>502</v>
      </c>
      <c r="S41" s="3" t="s">
        <v>493</v>
      </c>
      <c r="T41" s="3" t="s">
        <v>463</v>
      </c>
    </row>
    <row r="42" spans="1:20" x14ac:dyDescent="0.25">
      <c r="A42" s="11"/>
    </row>
    <row r="43" spans="1:20" x14ac:dyDescent="0.25">
      <c r="A43" s="11"/>
      <c r="H43" s="6">
        <f>SUM(H2:H41)</f>
        <v>4264</v>
      </c>
      <c r="I43" s="6">
        <f>SUM(I2:I41)</f>
        <v>4852</v>
      </c>
    </row>
    <row r="44" spans="1:20" x14ac:dyDescent="0.25">
      <c r="A44" s="11"/>
    </row>
    <row r="61" spans="1:1" x14ac:dyDescent="0.25">
      <c r="A61" s="11"/>
    </row>
    <row r="62" spans="1:1" x14ac:dyDescent="0.25">
      <c r="A62" s="11"/>
    </row>
    <row r="63" spans="1:1" x14ac:dyDescent="0.25">
      <c r="A63" s="11"/>
    </row>
    <row r="64" spans="1:1" x14ac:dyDescent="0.25">
      <c r="A64" s="11"/>
    </row>
    <row r="65" spans="1:1" x14ac:dyDescent="0.25">
      <c r="A65" s="11"/>
    </row>
    <row r="66" spans="1:1" x14ac:dyDescent="0.25">
      <c r="A66" s="11"/>
    </row>
    <row r="67" spans="1:1" x14ac:dyDescent="0.25">
      <c r="A67" s="11"/>
    </row>
    <row r="68" spans="1:1" x14ac:dyDescent="0.25">
      <c r="A68" s="11"/>
    </row>
    <row r="69" spans="1:1" x14ac:dyDescent="0.25">
      <c r="A69" s="11"/>
    </row>
    <row r="70" spans="1:1" x14ac:dyDescent="0.25">
      <c r="A70" s="11"/>
    </row>
    <row r="71" spans="1:1" x14ac:dyDescent="0.25">
      <c r="A71" s="11"/>
    </row>
    <row r="72" spans="1:1" x14ac:dyDescent="0.25">
      <c r="A72" s="11"/>
    </row>
    <row r="73" spans="1:1" x14ac:dyDescent="0.25">
      <c r="A73" s="11"/>
    </row>
    <row r="74" spans="1:1" x14ac:dyDescent="0.25">
      <c r="A74" s="11"/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EXTRACTION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Kwadwo Asamoah Kusi</cp:lastModifiedBy>
  <cp:lastPrinted>2026-03-09T13:21:56Z</cp:lastPrinted>
  <dcterms:created xsi:type="dcterms:W3CDTF">2024-10-09T07:26:45Z</dcterms:created>
  <dcterms:modified xsi:type="dcterms:W3CDTF">2026-03-12T15:49:48Z</dcterms:modified>
</cp:coreProperties>
</file>