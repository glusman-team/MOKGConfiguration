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f19\Desktop\TAO文章写作\投稿文件夹\AR投稿\Supplementary Materials\"/>
    </mc:Choice>
  </mc:AlternateContent>
  <xr:revisionPtr revIDLastSave="0" documentId="13_ncr:1_{C7BF9D58-B850-4480-8C27-33A27304CA5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9" l="1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3" i="9"/>
</calcChain>
</file>

<file path=xl/sharedStrings.xml><?xml version="1.0" encoding="utf-8"?>
<sst xmlns="http://schemas.openxmlformats.org/spreadsheetml/2006/main" count="855" uniqueCount="436">
  <si>
    <t>P02741</t>
  </si>
  <si>
    <t>CRP</t>
  </si>
  <si>
    <t>P0DJI9</t>
  </si>
  <si>
    <t>SAA2</t>
  </si>
  <si>
    <t>Q92667</t>
  </si>
  <si>
    <t>AKAP1</t>
  </si>
  <si>
    <t>P0DJI8</t>
  </si>
  <si>
    <t>SAA1</t>
  </si>
  <si>
    <t>P14555</t>
  </si>
  <si>
    <t>PLA2G2A</t>
  </si>
  <si>
    <t>O43236</t>
  </si>
  <si>
    <t>SEPTIN4</t>
  </si>
  <si>
    <t>Q9Y251</t>
  </si>
  <si>
    <t>HPSE</t>
  </si>
  <si>
    <t>O60268</t>
  </si>
  <si>
    <t>KIAA0513</t>
  </si>
  <si>
    <t>Q05682</t>
  </si>
  <si>
    <t>CALD1</t>
  </si>
  <si>
    <t>Q06187</t>
  </si>
  <si>
    <t>BTK</t>
  </si>
  <si>
    <t>P48735</t>
  </si>
  <si>
    <t>IDH2</t>
  </si>
  <si>
    <t>Q13094</t>
  </si>
  <si>
    <t>LCP2</t>
  </si>
  <si>
    <t>Q9UNF0</t>
  </si>
  <si>
    <t>PACSIN2</t>
  </si>
  <si>
    <t>P78344</t>
  </si>
  <si>
    <t>EIF4G2</t>
  </si>
  <si>
    <t>P08254</t>
  </si>
  <si>
    <t>MMP3</t>
  </si>
  <si>
    <t>P08567</t>
  </si>
  <si>
    <t>PLEK</t>
  </si>
  <si>
    <t>A0A0G2JMI3</t>
  </si>
  <si>
    <t>IGHV1-69-2</t>
  </si>
  <si>
    <t>Q14644</t>
  </si>
  <si>
    <t>RASA3</t>
  </si>
  <si>
    <t>Q9H939</t>
  </si>
  <si>
    <t>PSTPIP2</t>
  </si>
  <si>
    <t>Q9P289</t>
  </si>
  <si>
    <t>STK26</t>
  </si>
  <si>
    <t>Q8IYD1</t>
  </si>
  <si>
    <t>GSPT2</t>
  </si>
  <si>
    <t>Q9NZN3</t>
  </si>
  <si>
    <t>EHD3</t>
  </si>
  <si>
    <t>Q14554</t>
  </si>
  <si>
    <t>PDIA5</t>
  </si>
  <si>
    <t>Q9BY44</t>
  </si>
  <si>
    <t>EIF2A</t>
  </si>
  <si>
    <t>P02778</t>
  </si>
  <si>
    <t>CXCL10</t>
  </si>
  <si>
    <t>Q9Y6E2</t>
  </si>
  <si>
    <t>BZW2</t>
  </si>
  <si>
    <t>Q7LDG7</t>
  </si>
  <si>
    <t>RASGRP2</t>
  </si>
  <si>
    <t>O43182</t>
  </si>
  <si>
    <t>ARHGAP6</t>
  </si>
  <si>
    <t>Q7L1Q6</t>
  </si>
  <si>
    <t>BZW1</t>
  </si>
  <si>
    <t>Q9BUL8</t>
  </si>
  <si>
    <t>PDCD10</t>
  </si>
  <si>
    <t>Q9Y6E0</t>
  </si>
  <si>
    <t>STK24</t>
  </si>
  <si>
    <t>Q9NR31</t>
  </si>
  <si>
    <t>SAR1A</t>
  </si>
  <si>
    <t>Q15172</t>
  </si>
  <si>
    <t>PPP2R5A</t>
  </si>
  <si>
    <t>Q15785</t>
  </si>
  <si>
    <t>TOMM34</t>
  </si>
  <si>
    <t>Q9ULV4</t>
  </si>
  <si>
    <t>CORO1C</t>
  </si>
  <si>
    <t>Q9NS28</t>
  </si>
  <si>
    <t>RGS18</t>
  </si>
  <si>
    <t>O43516</t>
  </si>
  <si>
    <t>WIPF1</t>
  </si>
  <si>
    <t>Q99439</t>
  </si>
  <si>
    <t>CNN2</t>
  </si>
  <si>
    <t>Q5K130</t>
  </si>
  <si>
    <t>CLLU1-AS1</t>
  </si>
  <si>
    <t>O60551</t>
  </si>
  <si>
    <t>NMT1</t>
  </si>
  <si>
    <t>P07332</t>
  </si>
  <si>
    <t>FES</t>
  </si>
  <si>
    <t>P55145</t>
  </si>
  <si>
    <t>MANF</t>
  </si>
  <si>
    <t>P02775</t>
  </si>
  <si>
    <t>PPBP</t>
  </si>
  <si>
    <t>Q70IA8</t>
  </si>
  <si>
    <t>MOB3C</t>
  </si>
  <si>
    <t>Q9UKE5</t>
  </si>
  <si>
    <t>TNIK</t>
  </si>
  <si>
    <t>P55209</t>
  </si>
  <si>
    <t>NAP1L1</t>
  </si>
  <si>
    <t>P62256</t>
  </si>
  <si>
    <t>UBE2H</t>
  </si>
  <si>
    <t>P02763</t>
  </si>
  <si>
    <t>ORM1</t>
  </si>
  <si>
    <t>Q8N1G4</t>
  </si>
  <si>
    <t>LRRC47</t>
  </si>
  <si>
    <t>P02750</t>
  </si>
  <si>
    <t>LRG1</t>
  </si>
  <si>
    <t>P02776</t>
  </si>
  <si>
    <t>PF4</t>
  </si>
  <si>
    <t>Q9NR12</t>
  </si>
  <si>
    <t>PDLIM7</t>
  </si>
  <si>
    <t>Q9BPX7</t>
  </si>
  <si>
    <t>C7orf25</t>
  </si>
  <si>
    <t>Q9UQ13</t>
  </si>
  <si>
    <t>SHOC2</t>
  </si>
  <si>
    <t>Q9H2K8</t>
  </si>
  <si>
    <t>TAOK3</t>
  </si>
  <si>
    <t>Q8NEP3</t>
  </si>
  <si>
    <t>DNAAF1</t>
  </si>
  <si>
    <t>Q15796</t>
  </si>
  <si>
    <t>SMAD2</t>
  </si>
  <si>
    <t>Q9Y3A5</t>
  </si>
  <si>
    <t>SBDS</t>
  </si>
  <si>
    <t>Q13418</t>
  </si>
  <si>
    <t>ILK</t>
  </si>
  <si>
    <t>Q00722</t>
  </si>
  <si>
    <t>PLCB2</t>
  </si>
  <si>
    <t>Q684P5</t>
  </si>
  <si>
    <t>RAP1GAP2</t>
  </si>
  <si>
    <t>Q15019</t>
  </si>
  <si>
    <t>SEPTIN2</t>
  </si>
  <si>
    <t>Q99719</t>
  </si>
  <si>
    <t>SEPTIN5</t>
  </si>
  <si>
    <t>P43250</t>
  </si>
  <si>
    <t>GRK6</t>
  </si>
  <si>
    <t>Q9BRP8</t>
  </si>
  <si>
    <t>PYM1</t>
  </si>
  <si>
    <t>Q9UBW5</t>
  </si>
  <si>
    <t>BIN2</t>
  </si>
  <si>
    <t>O43639</t>
  </si>
  <si>
    <t>NCK2</t>
  </si>
  <si>
    <t>P21291</t>
  </si>
  <si>
    <t>CSRP1</t>
  </si>
  <si>
    <t>P01742</t>
  </si>
  <si>
    <t>IGHV1-69</t>
  </si>
  <si>
    <t>Q9HB71</t>
  </si>
  <si>
    <t>CACYBP</t>
  </si>
  <si>
    <t>P48059</t>
  </si>
  <si>
    <t>LIMS1</t>
  </si>
  <si>
    <t>Q5K651</t>
  </si>
  <si>
    <t>SAMD9</t>
  </si>
  <si>
    <t>Q53QZ3</t>
  </si>
  <si>
    <t>ARHGAP15</t>
  </si>
  <si>
    <t>Q5T0N5</t>
  </si>
  <si>
    <t>FNBP1L</t>
  </si>
  <si>
    <t>O95260</t>
  </si>
  <si>
    <t>ATE1</t>
  </si>
  <si>
    <t>P84085</t>
  </si>
  <si>
    <t>ARF5</t>
  </si>
  <si>
    <t>Q8TEA8</t>
  </si>
  <si>
    <t>DTD1</t>
  </si>
  <si>
    <t>Q7Z2W4</t>
  </si>
  <si>
    <t>ZC3HAV1</t>
  </si>
  <si>
    <t>Q8N392</t>
  </si>
  <si>
    <t>ARHGAP18</t>
  </si>
  <si>
    <t>P42768</t>
  </si>
  <si>
    <t>WAS</t>
  </si>
  <si>
    <t>P19525</t>
  </si>
  <si>
    <t>EIF2AK2</t>
  </si>
  <si>
    <t>P43405</t>
  </si>
  <si>
    <t>SYK</t>
  </si>
  <si>
    <t>P0DMM9</t>
  </si>
  <si>
    <t>SULT1A3</t>
  </si>
  <si>
    <t>P56211</t>
  </si>
  <si>
    <t>ARPP19</t>
  </si>
  <si>
    <t>Q16537</t>
  </si>
  <si>
    <t>PPP2R5E</t>
  </si>
  <si>
    <t>Q6PL24</t>
  </si>
  <si>
    <t>TMED8</t>
  </si>
  <si>
    <t>Q13576</t>
  </si>
  <si>
    <t>IQGAP2</t>
  </si>
  <si>
    <t>Q13492</t>
  </si>
  <si>
    <t>PICALM</t>
  </si>
  <si>
    <t>Q8N4C8</t>
  </si>
  <si>
    <t>MINK1</t>
  </si>
  <si>
    <t>P01824</t>
  </si>
  <si>
    <t>IGHV4-34</t>
  </si>
  <si>
    <t>P15153</t>
  </si>
  <si>
    <t>RAC2</t>
  </si>
  <si>
    <t>Q00688</t>
  </si>
  <si>
    <t>FKBP3</t>
  </si>
  <si>
    <t>Q15746</t>
  </si>
  <si>
    <t>MYLK</t>
  </si>
  <si>
    <t>Q9Y224</t>
  </si>
  <si>
    <t>RTRAF</t>
  </si>
  <si>
    <t>P80748</t>
  </si>
  <si>
    <t>IGLV3-21</t>
  </si>
  <si>
    <t>P60981</t>
  </si>
  <si>
    <t>DSTN</t>
  </si>
  <si>
    <t>Q9H4M9</t>
  </si>
  <si>
    <t>EHD1</t>
  </si>
  <si>
    <t>Q05655</t>
  </si>
  <si>
    <t>PRKCD</t>
  </si>
  <si>
    <t>P17252</t>
  </si>
  <si>
    <t>PRKCA</t>
  </si>
  <si>
    <t>Q8TDX7</t>
  </si>
  <si>
    <t>NEK7</t>
  </si>
  <si>
    <t>Q9Y237</t>
  </si>
  <si>
    <t>PIN4</t>
  </si>
  <si>
    <t>Q01970</t>
  </si>
  <si>
    <t>PLCB3</t>
  </si>
  <si>
    <t>O60331</t>
  </si>
  <si>
    <t>PIP5K1C</t>
  </si>
  <si>
    <t>P23560</t>
  </si>
  <si>
    <t>BDNF</t>
  </si>
  <si>
    <t>O15371</t>
  </si>
  <si>
    <t>EIF3D</t>
  </si>
  <si>
    <t>Q92496</t>
  </si>
  <si>
    <t>CFHR4</t>
  </si>
  <si>
    <t>Q05193</t>
  </si>
  <si>
    <t>DNM1</t>
  </si>
  <si>
    <t>P13501</t>
  </si>
  <si>
    <t>CCL5</t>
  </si>
  <si>
    <t>Q8WU79</t>
  </si>
  <si>
    <t>SMAP2</t>
  </si>
  <si>
    <t>Q13442</t>
  </si>
  <si>
    <t>PDAP1</t>
  </si>
  <si>
    <t>O60506</t>
  </si>
  <si>
    <t>SYNCRIP</t>
  </si>
  <si>
    <t>Q02985</t>
  </si>
  <si>
    <t>CFHR3</t>
  </si>
  <si>
    <t>P22694</t>
  </si>
  <si>
    <t>PRKACB</t>
  </si>
  <si>
    <t>P29350</t>
  </si>
  <si>
    <t>PTPN6</t>
  </si>
  <si>
    <t>O60437</t>
  </si>
  <si>
    <t>PPL</t>
  </si>
  <si>
    <t>P17812</t>
  </si>
  <si>
    <t>CTPS1</t>
  </si>
  <si>
    <t>Q7Z7A4</t>
  </si>
  <si>
    <t>PXK</t>
  </si>
  <si>
    <t>Q14696</t>
  </si>
  <si>
    <t>MESD</t>
  </si>
  <si>
    <t>P41227</t>
  </si>
  <si>
    <t>NAA10</t>
  </si>
  <si>
    <t>P37802</t>
  </si>
  <si>
    <t>TAGLN2</t>
  </si>
  <si>
    <t>O43768</t>
  </si>
  <si>
    <t>ENSA</t>
  </si>
  <si>
    <t>P42338</t>
  </si>
  <si>
    <t>PIK3CB</t>
  </si>
  <si>
    <t>Q12904</t>
  </si>
  <si>
    <t>AIMP1</t>
  </si>
  <si>
    <t>A0A075B6I1</t>
  </si>
  <si>
    <t>IGLV4-60</t>
  </si>
  <si>
    <t>Q99615</t>
  </si>
  <si>
    <t>DNAJC7</t>
  </si>
  <si>
    <t>P15170</t>
  </si>
  <si>
    <t>GSPT1</t>
  </si>
  <si>
    <t>P48426</t>
  </si>
  <si>
    <t>PIP4K2A</t>
  </si>
  <si>
    <t>Q15056</t>
  </si>
  <si>
    <t>EIF4H</t>
  </si>
  <si>
    <t>P61204</t>
  </si>
  <si>
    <t>ARF3</t>
  </si>
  <si>
    <t>O43665</t>
  </si>
  <si>
    <t>RGS10</t>
  </si>
  <si>
    <t>Q06033</t>
  </si>
  <si>
    <t>ITIH3</t>
  </si>
  <si>
    <t>Q92890</t>
  </si>
  <si>
    <t>UFD1</t>
  </si>
  <si>
    <t>Q9H8Y8</t>
  </si>
  <si>
    <t>GORASP2</t>
  </si>
  <si>
    <t>O75937</t>
  </si>
  <si>
    <t>DNAJC8</t>
  </si>
  <si>
    <t>P01011</t>
  </si>
  <si>
    <t>SERPINA3</t>
  </si>
  <si>
    <t>O00571</t>
  </si>
  <si>
    <t>DDX3X</t>
  </si>
  <si>
    <t>Q7L576</t>
  </si>
  <si>
    <t>CYFIP1</t>
  </si>
  <si>
    <t>P19652</t>
  </si>
  <si>
    <t>ORM2</t>
  </si>
  <si>
    <t>Q01518</t>
  </si>
  <si>
    <t>CAP1</t>
  </si>
  <si>
    <t>Q15555</t>
  </si>
  <si>
    <t>MAPRE2</t>
  </si>
  <si>
    <t>Q9H8W4</t>
  </si>
  <si>
    <t>PLEKHF2</t>
  </si>
  <si>
    <t>Q13201</t>
  </si>
  <si>
    <t>MMRN1</t>
  </si>
  <si>
    <t>Q14847</t>
  </si>
  <si>
    <t>LASP1</t>
  </si>
  <si>
    <t>Q9Y2S6</t>
  </si>
  <si>
    <t>TMA7</t>
  </si>
  <si>
    <t>P01009</t>
  </si>
  <si>
    <t>SERPINA1</t>
  </si>
  <si>
    <t>P55039</t>
  </si>
  <si>
    <t>DRG2</t>
  </si>
  <si>
    <t>Q15691</t>
  </si>
  <si>
    <t>MAPRE1</t>
  </si>
  <si>
    <t>Q9BXJ9</t>
  </si>
  <si>
    <t>NAA15</t>
  </si>
  <si>
    <t>P40238</t>
  </si>
  <si>
    <t>MPL</t>
  </si>
  <si>
    <t>A0A0C4DH29</t>
  </si>
  <si>
    <t>IGHV1-3</t>
  </si>
  <si>
    <t>O75351</t>
  </si>
  <si>
    <t>VPS4B</t>
  </si>
  <si>
    <t>P01700</t>
  </si>
  <si>
    <t>IGLV1-47</t>
  </si>
  <si>
    <t>O95379</t>
  </si>
  <si>
    <t>TNFAIP8</t>
  </si>
  <si>
    <t>Q9Y3E7</t>
  </si>
  <si>
    <t>CHMP3</t>
  </si>
  <si>
    <t>P23528</t>
  </si>
  <si>
    <t>CFL1</t>
  </si>
  <si>
    <t>P27986</t>
  </si>
  <si>
    <t>PIK3R1</t>
  </si>
  <si>
    <t>A0A0C4DH34</t>
  </si>
  <si>
    <t>IGHV4-28</t>
  </si>
  <si>
    <t>Q9UNH7</t>
  </si>
  <si>
    <t>SNX6</t>
  </si>
  <si>
    <t>P05771</t>
  </si>
  <si>
    <t>PRKCB</t>
  </si>
  <si>
    <t>Q15642</t>
  </si>
  <si>
    <t>TRIP10</t>
  </si>
  <si>
    <t>P49137</t>
  </si>
  <si>
    <t>MAPKAPK2</t>
  </si>
  <si>
    <t>O75888</t>
  </si>
  <si>
    <t>TNFSF13</t>
  </si>
  <si>
    <t>P54577</t>
  </si>
  <si>
    <t>YARS1</t>
  </si>
  <si>
    <t>A0A075B6K5</t>
  </si>
  <si>
    <t>IGLV3-9</t>
  </si>
  <si>
    <t>Q9GZP0</t>
  </si>
  <si>
    <t>PDGFD</t>
  </si>
  <si>
    <t>A0A0B4J2D9</t>
  </si>
  <si>
    <t>IGKV1-13</t>
  </si>
  <si>
    <t>A1A4S6</t>
  </si>
  <si>
    <t>ARHGAP10</t>
  </si>
  <si>
    <t>O00139</t>
  </si>
  <si>
    <t>KIF2A</t>
  </si>
  <si>
    <t>O00203</t>
  </si>
  <si>
    <t>AP3B1</t>
  </si>
  <si>
    <t>O14617</t>
  </si>
  <si>
    <t>AP3D1</t>
  </si>
  <si>
    <t>O14974</t>
  </si>
  <si>
    <t>PPP1R12A</t>
  </si>
  <si>
    <t>O15117</t>
  </si>
  <si>
    <t>FYB1</t>
  </si>
  <si>
    <t>O43865</t>
  </si>
  <si>
    <t>AHCYL1</t>
  </si>
  <si>
    <t>O75563</t>
  </si>
  <si>
    <t>SKAP2</t>
  </si>
  <si>
    <t>O94874</t>
  </si>
  <si>
    <t>UFL1</t>
  </si>
  <si>
    <t>P20042</t>
  </si>
  <si>
    <t>EIF2S2</t>
  </si>
  <si>
    <t>P55160</t>
  </si>
  <si>
    <t>NCKAP1L</t>
  </si>
  <si>
    <t>P62330</t>
  </si>
  <si>
    <t>ARF6</t>
  </si>
  <si>
    <t>P78356</t>
  </si>
  <si>
    <t>PIP4K2B</t>
  </si>
  <si>
    <t>Q0ZGT2</t>
  </si>
  <si>
    <t>NEXN</t>
  </si>
  <si>
    <t>Q13464</t>
  </si>
  <si>
    <t>ROCK1</t>
  </si>
  <si>
    <t>Q14008</t>
  </si>
  <si>
    <t>CKAP5</t>
  </si>
  <si>
    <t>Q14677</t>
  </si>
  <si>
    <t>CLINT1</t>
  </si>
  <si>
    <t>Q16181</t>
  </si>
  <si>
    <t>SEPTIN7</t>
  </si>
  <si>
    <t>Q4KMP7</t>
  </si>
  <si>
    <t>TBC1D10B</t>
  </si>
  <si>
    <t>Q66K74</t>
  </si>
  <si>
    <t>MAP1S</t>
  </si>
  <si>
    <t>Q6PKG0</t>
  </si>
  <si>
    <t>LARP1</t>
  </si>
  <si>
    <t>Q6VY07</t>
  </si>
  <si>
    <t>PACS1</t>
  </si>
  <si>
    <t>Q7Z460</t>
  </si>
  <si>
    <t>CLASP1</t>
  </si>
  <si>
    <t>Q8N8K9</t>
  </si>
  <si>
    <t>KIAA1958</t>
  </si>
  <si>
    <t>Q92619</t>
  </si>
  <si>
    <t>ARHGAP45</t>
  </si>
  <si>
    <t>Q96A65</t>
  </si>
  <si>
    <t>EXOC4</t>
  </si>
  <si>
    <t>Q96C24</t>
  </si>
  <si>
    <t>SYTL4</t>
  </si>
  <si>
    <t>Q96HN2</t>
  </si>
  <si>
    <t>AHCYL2</t>
  </si>
  <si>
    <t>Q99501</t>
  </si>
  <si>
    <t>GAS2L1</t>
  </si>
  <si>
    <t>Q9BW04</t>
  </si>
  <si>
    <t>SARG</t>
  </si>
  <si>
    <t>Q9NVA2</t>
  </si>
  <si>
    <t>SEPTIN11</t>
  </si>
  <si>
    <t>Q9UDY2</t>
  </si>
  <si>
    <t>TJP2</t>
  </si>
  <si>
    <t>Q9UEY8</t>
  </si>
  <si>
    <t>ADD3</t>
  </si>
  <si>
    <t>Q9UJU6</t>
  </si>
  <si>
    <t>DBNL</t>
  </si>
  <si>
    <t>Q9Y2T2</t>
  </si>
  <si>
    <t>AP3M1</t>
  </si>
  <si>
    <t>Q9UKW4</t>
  </si>
  <si>
    <t>VAV3</t>
  </si>
  <si>
    <t>Q86WR0</t>
  </si>
  <si>
    <t>CCDC25</t>
  </si>
  <si>
    <t>Q86VQ1</t>
  </si>
  <si>
    <t>GLCCI1</t>
  </si>
  <si>
    <t>O14530</t>
  </si>
  <si>
    <t>TXNDC9</t>
  </si>
  <si>
    <t>Q9H0Z9</t>
  </si>
  <si>
    <t>RBM38</t>
  </si>
  <si>
    <t>Q9Y6B6</t>
  </si>
  <si>
    <t>SAR1B</t>
  </si>
  <si>
    <t>Q9H2J4</t>
  </si>
  <si>
    <t>PDCL3</t>
  </si>
  <si>
    <t>Q9Y295</t>
  </si>
  <si>
    <t>DRG1</t>
  </si>
  <si>
    <t>P40818</t>
  </si>
  <si>
    <t>USP8</t>
  </si>
  <si>
    <t>Q13596</t>
  </si>
  <si>
    <t>SNX1</t>
  </si>
  <si>
    <t>Gene</t>
    <phoneticPr fontId="1" type="noConversion"/>
  </si>
  <si>
    <t>Average Act</t>
    <phoneticPr fontId="1" type="noConversion"/>
  </si>
  <si>
    <t>Average Rem</t>
    <phoneticPr fontId="1" type="noConversion"/>
  </si>
  <si>
    <t>FC (Act/Rem)</t>
    <phoneticPr fontId="1" type="noConversion"/>
  </si>
  <si>
    <t>Significant</t>
  </si>
  <si>
    <t>Not significant</t>
  </si>
  <si>
    <t>profile3</t>
  </si>
  <si>
    <t>Profile</t>
    <phoneticPr fontId="1" type="noConversion"/>
  </si>
  <si>
    <t>Rho</t>
    <phoneticPr fontId="1" type="noConversion"/>
  </si>
  <si>
    <t>Protein</t>
    <phoneticPr fontId="1" type="noConversion"/>
  </si>
  <si>
    <t>p.value</t>
    <phoneticPr fontId="1" type="noConversion"/>
  </si>
  <si>
    <t>signif</t>
    <phoneticPr fontId="1" type="noConversion"/>
  </si>
  <si>
    <t>Supplementary Table 5. Spearman correlation between protein abundance in Profile 3 and Sharp radiographic scores of bone erosion in 160 RA patients.</t>
    <phoneticPr fontId="1" type="noConversion"/>
  </si>
  <si>
    <t>Rho values represent Spearman’s correlation coefficients between the expression level of each individual protein and the Sharp score. FC represents the fold change in protein expression between the compared groups.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</si>
</sst>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F62E-5461-4336-AB61-789E1EF4EC95}">
  <dimension ref="A1:T214"/>
  <sheetViews>
    <sheetView tabSelected="1" topLeftCell="A187" workbookViewId="0">
      <selection activeCell="N9" sqref="N9"/>
    </sheetView>
  </sheetViews>
  <sheetFormatPr defaultRowHeight="14.5" x14ac:dyDescent="0.35"/>
  <cols>
    <col min="1" max="2" width="8.7265625" style="2"/>
    <col min="3" max="3" width="10.26953125" style="2" bestFit="1" customWidth="1"/>
    <col min="4" max="4" width="8.7265625" style="2"/>
    <col min="5" max="5" width="12.453125" style="2" bestFit="1" customWidth="1"/>
    <col min="6" max="6" width="15.6328125" style="2" customWidth="1"/>
    <col min="7" max="8" width="12.453125" style="2" bestFit="1" customWidth="1"/>
    <col min="9" max="9" width="15.453125" style="2" customWidth="1"/>
  </cols>
  <sheetData>
    <row r="1" spans="1:20" ht="50.5" customHeight="1" x14ac:dyDescent="0.35">
      <c r="A1" s="6" t="s">
        <v>434</v>
      </c>
      <c r="B1" s="7"/>
      <c r="C1" s="7"/>
      <c r="D1" s="7"/>
      <c r="E1" s="7"/>
      <c r="F1" s="7"/>
      <c r="G1" s="7"/>
      <c r="H1" s="7"/>
      <c r="I1" s="8"/>
    </row>
    <row r="2" spans="1:20" x14ac:dyDescent="0.35">
      <c r="A2" s="1" t="s">
        <v>429</v>
      </c>
      <c r="B2" s="1" t="s">
        <v>431</v>
      </c>
      <c r="C2" s="1" t="s">
        <v>422</v>
      </c>
      <c r="D2" s="1" t="s">
        <v>430</v>
      </c>
      <c r="E2" s="1" t="s">
        <v>432</v>
      </c>
      <c r="F2" s="1" t="s">
        <v>433</v>
      </c>
      <c r="G2" s="1" t="s">
        <v>423</v>
      </c>
      <c r="H2" s="1" t="s">
        <v>424</v>
      </c>
      <c r="I2" s="1" t="s">
        <v>425</v>
      </c>
    </row>
    <row r="3" spans="1:20" x14ac:dyDescent="0.35">
      <c r="A3" s="2" t="s">
        <v>428</v>
      </c>
      <c r="B3" s="2" t="s">
        <v>2</v>
      </c>
      <c r="C3" s="2" t="s">
        <v>3</v>
      </c>
      <c r="D3" s="2">
        <v>0.28667152864789902</v>
      </c>
      <c r="E3" s="2">
        <v>2.3771012783954299E-4</v>
      </c>
      <c r="F3" s="2" t="s">
        <v>426</v>
      </c>
      <c r="G3" s="2">
        <v>31047003.75</v>
      </c>
      <c r="H3" s="2">
        <v>7116456.375</v>
      </c>
      <c r="I3" s="2">
        <f>G3/H3</f>
        <v>4.3627055537173867</v>
      </c>
      <c r="M3" s="4"/>
      <c r="N3" s="5"/>
      <c r="O3" s="5"/>
      <c r="P3" s="5"/>
      <c r="Q3" s="5"/>
      <c r="R3" s="5"/>
      <c r="S3" s="5"/>
      <c r="T3" s="5"/>
    </row>
    <row r="4" spans="1:20" x14ac:dyDescent="0.35">
      <c r="A4" s="2" t="s">
        <v>428</v>
      </c>
      <c r="B4" s="2" t="s">
        <v>148</v>
      </c>
      <c r="C4" s="2" t="s">
        <v>149</v>
      </c>
      <c r="D4" s="2">
        <v>0.282969288889444</v>
      </c>
      <c r="E4" s="2">
        <v>3.93879242717878E-4</v>
      </c>
      <c r="F4" s="2" t="s">
        <v>426</v>
      </c>
      <c r="G4" s="2">
        <v>56354.881466666659</v>
      </c>
      <c r="H4" s="2">
        <v>25093.51833333333</v>
      </c>
      <c r="I4" s="2">
        <f t="shared" ref="I4:I67" si="0">G4/H4</f>
        <v>2.2457943409157917</v>
      </c>
    </row>
    <row r="5" spans="1:20" x14ac:dyDescent="0.35">
      <c r="A5" s="2" t="s">
        <v>428</v>
      </c>
      <c r="B5" s="2" t="s">
        <v>236</v>
      </c>
      <c r="C5" s="2" t="s">
        <v>237</v>
      </c>
      <c r="D5" s="2">
        <v>0.28233925505173701</v>
      </c>
      <c r="E5" s="2">
        <v>1.3595974707261401E-3</v>
      </c>
      <c r="F5" s="2" t="s">
        <v>426</v>
      </c>
      <c r="G5" s="2">
        <v>19834.995932203401</v>
      </c>
      <c r="H5" s="2">
        <v>11422.675671641793</v>
      </c>
      <c r="I5" s="2">
        <f t="shared" si="0"/>
        <v>1.7364579457899023</v>
      </c>
    </row>
    <row r="6" spans="1:20" x14ac:dyDescent="0.35">
      <c r="A6" s="2" t="s">
        <v>428</v>
      </c>
      <c r="B6" s="2" t="s">
        <v>220</v>
      </c>
      <c r="C6" s="2" t="s">
        <v>221</v>
      </c>
      <c r="D6" s="2">
        <v>0.27614966848785</v>
      </c>
      <c r="E6" s="2">
        <v>4.0832171401449798E-4</v>
      </c>
      <c r="F6" s="2" t="s">
        <v>426</v>
      </c>
      <c r="G6" s="2">
        <v>135108.26625000002</v>
      </c>
      <c r="H6" s="2">
        <v>74217.04124999998</v>
      </c>
      <c r="I6" s="2">
        <f t="shared" si="0"/>
        <v>1.8204480261465563</v>
      </c>
    </row>
    <row r="7" spans="1:20" x14ac:dyDescent="0.35">
      <c r="A7" s="2" t="s">
        <v>428</v>
      </c>
      <c r="B7" s="2" t="s">
        <v>120</v>
      </c>
      <c r="C7" s="2" t="s">
        <v>121</v>
      </c>
      <c r="D7" s="2">
        <v>0.27023496492406002</v>
      </c>
      <c r="E7" s="2">
        <v>7.0021951661682102E-4</v>
      </c>
      <c r="F7" s="2" t="s">
        <v>426</v>
      </c>
      <c r="G7" s="2">
        <v>93938.850259740226</v>
      </c>
      <c r="H7" s="2">
        <v>40562.88194805196</v>
      </c>
      <c r="I7" s="2">
        <f t="shared" si="0"/>
        <v>2.315882051478634</v>
      </c>
    </row>
    <row r="8" spans="1:20" x14ac:dyDescent="0.35">
      <c r="A8" s="2" t="s">
        <v>428</v>
      </c>
      <c r="B8" s="2" t="s">
        <v>280</v>
      </c>
      <c r="C8" s="2" t="s">
        <v>281</v>
      </c>
      <c r="D8" s="2">
        <v>0.26683848261399901</v>
      </c>
      <c r="E8" s="2">
        <v>6.4757224061787199E-4</v>
      </c>
      <c r="F8" s="2" t="s">
        <v>426</v>
      </c>
      <c r="G8" s="2">
        <v>208805.16500000001</v>
      </c>
      <c r="H8" s="2">
        <v>118081.72249999999</v>
      </c>
      <c r="I8" s="2">
        <f t="shared" si="0"/>
        <v>1.7683106291068884</v>
      </c>
    </row>
    <row r="9" spans="1:20" x14ac:dyDescent="0.35">
      <c r="A9" s="2" t="s">
        <v>428</v>
      </c>
      <c r="B9" s="2" t="s">
        <v>108</v>
      </c>
      <c r="C9" s="2" t="s">
        <v>109</v>
      </c>
      <c r="D9" s="2">
        <v>0.263040457842043</v>
      </c>
      <c r="E9" s="2">
        <v>8.0860116101612398E-4</v>
      </c>
      <c r="F9" s="2" t="s">
        <v>426</v>
      </c>
      <c r="G9" s="2">
        <v>105980.06999999999</v>
      </c>
      <c r="H9" s="2">
        <v>41109.642025316454</v>
      </c>
      <c r="I9" s="2">
        <f t="shared" si="0"/>
        <v>2.577985717675054</v>
      </c>
    </row>
    <row r="10" spans="1:20" x14ac:dyDescent="0.35">
      <c r="A10" s="2" t="s">
        <v>428</v>
      </c>
      <c r="B10" s="2" t="s">
        <v>286</v>
      </c>
      <c r="C10" s="2" t="s">
        <v>287</v>
      </c>
      <c r="D10" s="2">
        <v>0.25692801772010299</v>
      </c>
      <c r="E10" s="2">
        <v>1.03931087648735E-3</v>
      </c>
      <c r="F10" s="2" t="s">
        <v>426</v>
      </c>
      <c r="G10" s="2">
        <v>139509.13750000001</v>
      </c>
      <c r="H10" s="2">
        <v>89634.411250000019</v>
      </c>
      <c r="I10" s="2">
        <f t="shared" si="0"/>
        <v>1.5564238728683564</v>
      </c>
    </row>
    <row r="11" spans="1:20" x14ac:dyDescent="0.35">
      <c r="A11" s="2" t="s">
        <v>428</v>
      </c>
      <c r="B11" s="2" t="s">
        <v>60</v>
      </c>
      <c r="C11" s="2" t="s">
        <v>61</v>
      </c>
      <c r="D11" s="2">
        <v>0.25476402439965001</v>
      </c>
      <c r="E11" s="2">
        <v>1.14964593690796E-3</v>
      </c>
      <c r="F11" s="2" t="s">
        <v>426</v>
      </c>
      <c r="G11" s="2">
        <v>889547.90999999992</v>
      </c>
      <c r="H11" s="2">
        <v>332663.66000000003</v>
      </c>
      <c r="I11" s="2">
        <f t="shared" si="0"/>
        <v>2.6740158813860218</v>
      </c>
    </row>
    <row r="12" spans="1:20" x14ac:dyDescent="0.35">
      <c r="A12" s="2" t="s">
        <v>428</v>
      </c>
      <c r="B12" s="2" t="s">
        <v>182</v>
      </c>
      <c r="C12" s="2" t="s">
        <v>183</v>
      </c>
      <c r="D12" s="2">
        <v>0.25222967956054199</v>
      </c>
      <c r="E12" s="2">
        <v>1.2924413197243701E-3</v>
      </c>
      <c r="F12" s="2" t="s">
        <v>426</v>
      </c>
      <c r="G12" s="2">
        <v>160731.89124999999</v>
      </c>
      <c r="H12" s="2">
        <v>88396.543749999997</v>
      </c>
      <c r="I12" s="2">
        <f t="shared" si="0"/>
        <v>1.8183051557374945</v>
      </c>
    </row>
    <row r="13" spans="1:20" x14ac:dyDescent="0.35">
      <c r="A13" s="2" t="s">
        <v>428</v>
      </c>
      <c r="B13" s="2" t="s">
        <v>388</v>
      </c>
      <c r="C13" s="2" t="s">
        <v>389</v>
      </c>
      <c r="D13" s="2">
        <v>0.25097197423072898</v>
      </c>
      <c r="E13" s="2">
        <v>1.17817528990826E-2</v>
      </c>
      <c r="F13" s="2" t="s">
        <v>426</v>
      </c>
      <c r="G13" s="2">
        <v>16922.325686274507</v>
      </c>
      <c r="H13" s="2">
        <v>8588.6083673469384</v>
      </c>
      <c r="I13" s="2">
        <f t="shared" si="0"/>
        <v>1.9703221945258977</v>
      </c>
    </row>
    <row r="14" spans="1:20" x14ac:dyDescent="0.35">
      <c r="A14" s="2" t="s">
        <v>428</v>
      </c>
      <c r="B14" s="2" t="s">
        <v>58</v>
      </c>
      <c r="C14" s="2" t="s">
        <v>59</v>
      </c>
      <c r="D14" s="2">
        <v>0.24847879049930299</v>
      </c>
      <c r="E14" s="2">
        <v>1.5336895132217899E-3</v>
      </c>
      <c r="F14" s="2" t="s">
        <v>426</v>
      </c>
      <c r="G14" s="2">
        <v>302823.02999999991</v>
      </c>
      <c r="H14" s="2">
        <v>120627.36249999997</v>
      </c>
      <c r="I14" s="2">
        <f t="shared" si="0"/>
        <v>2.5104008222015133</v>
      </c>
    </row>
    <row r="15" spans="1:20" x14ac:dyDescent="0.35">
      <c r="A15" s="2" t="s">
        <v>428</v>
      </c>
      <c r="B15" s="2" t="s">
        <v>218</v>
      </c>
      <c r="C15" s="2" t="s">
        <v>219</v>
      </c>
      <c r="D15" s="2">
        <v>0.24745008422702999</v>
      </c>
      <c r="E15" s="2">
        <v>1.6066802262307801E-3</v>
      </c>
      <c r="F15" s="2" t="s">
        <v>426</v>
      </c>
      <c r="G15" s="2">
        <v>159186.91499999998</v>
      </c>
      <c r="H15" s="2">
        <v>90247.947500000024</v>
      </c>
      <c r="I15" s="2">
        <f t="shared" si="0"/>
        <v>1.7638840484433171</v>
      </c>
    </row>
    <row r="16" spans="1:20" x14ac:dyDescent="0.35">
      <c r="A16" s="2" t="s">
        <v>428</v>
      </c>
      <c r="B16" s="2" t="s">
        <v>172</v>
      </c>
      <c r="C16" s="2" t="s">
        <v>173</v>
      </c>
      <c r="D16" s="2">
        <v>0.24533837477510401</v>
      </c>
      <c r="E16" s="2">
        <v>1.76652847657337E-3</v>
      </c>
      <c r="F16" s="2" t="s">
        <v>426</v>
      </c>
      <c r="G16" s="2">
        <v>244355.41625000007</v>
      </c>
      <c r="H16" s="2">
        <v>107271.48500000003</v>
      </c>
      <c r="I16" s="2">
        <f t="shared" si="0"/>
        <v>2.2779158529407884</v>
      </c>
    </row>
    <row r="17" spans="1:9" x14ac:dyDescent="0.35">
      <c r="A17" s="2" t="s">
        <v>428</v>
      </c>
      <c r="B17" s="2" t="s">
        <v>250</v>
      </c>
      <c r="C17" s="2" t="s">
        <v>251</v>
      </c>
      <c r="D17" s="2">
        <v>0.24519602882872599</v>
      </c>
      <c r="E17" s="2">
        <v>1.7778076527076999E-3</v>
      </c>
      <c r="F17" s="2" t="s">
        <v>426</v>
      </c>
      <c r="G17" s="2">
        <v>98346.612500000017</v>
      </c>
      <c r="H17" s="2">
        <v>55348.078749999986</v>
      </c>
      <c r="I17" s="2">
        <f t="shared" si="0"/>
        <v>1.7768749109471129</v>
      </c>
    </row>
    <row r="18" spans="1:9" x14ac:dyDescent="0.35">
      <c r="A18" s="2" t="s">
        <v>428</v>
      </c>
      <c r="B18" s="2" t="s">
        <v>202</v>
      </c>
      <c r="C18" s="2" t="s">
        <v>203</v>
      </c>
      <c r="D18" s="2">
        <v>0.244316034060097</v>
      </c>
      <c r="E18" s="2">
        <v>1.9119977747042601E-3</v>
      </c>
      <c r="F18" s="2" t="s">
        <v>426</v>
      </c>
      <c r="G18" s="2">
        <v>54071.187341772151</v>
      </c>
      <c r="H18" s="2">
        <v>26547.278749999998</v>
      </c>
      <c r="I18" s="2">
        <f t="shared" si="0"/>
        <v>2.0367883221089902</v>
      </c>
    </row>
    <row r="19" spans="1:9" x14ac:dyDescent="0.35">
      <c r="A19" s="2" t="s">
        <v>428</v>
      </c>
      <c r="B19" s="2" t="s">
        <v>350</v>
      </c>
      <c r="C19" s="2" t="s">
        <v>351</v>
      </c>
      <c r="D19" s="2">
        <v>0.24262059443808701</v>
      </c>
      <c r="E19" s="2">
        <v>1.9935358670988201E-3</v>
      </c>
      <c r="F19" s="2" t="s">
        <v>426</v>
      </c>
      <c r="G19" s="2">
        <v>95159.796250000014</v>
      </c>
      <c r="H19" s="2">
        <v>60498.157500000008</v>
      </c>
      <c r="I19" s="2">
        <f t="shared" si="0"/>
        <v>1.5729370972992029</v>
      </c>
    </row>
    <row r="20" spans="1:9" x14ac:dyDescent="0.35">
      <c r="A20" s="2" t="s">
        <v>428</v>
      </c>
      <c r="B20" s="2" t="s">
        <v>6</v>
      </c>
      <c r="C20" s="2" t="s">
        <v>7</v>
      </c>
      <c r="D20" s="2">
        <v>0.24230901871663299</v>
      </c>
      <c r="E20" s="2">
        <v>2.08895113128951E-3</v>
      </c>
      <c r="F20" s="2" t="s">
        <v>426</v>
      </c>
      <c r="G20" s="2">
        <v>21837961.772151899</v>
      </c>
      <c r="H20" s="2">
        <v>6401499.9249999998</v>
      </c>
      <c r="I20" s="2">
        <f t="shared" si="0"/>
        <v>3.4113820242139421</v>
      </c>
    </row>
    <row r="21" spans="1:9" x14ac:dyDescent="0.35">
      <c r="A21" s="2" t="s">
        <v>428</v>
      </c>
      <c r="B21" s="2" t="s">
        <v>4</v>
      </c>
      <c r="C21" s="2" t="s">
        <v>5</v>
      </c>
      <c r="D21" s="2">
        <v>0.23794644370797299</v>
      </c>
      <c r="E21" s="2">
        <v>7.0639964882012697E-3</v>
      </c>
      <c r="F21" s="2" t="s">
        <v>426</v>
      </c>
      <c r="G21" s="2">
        <v>276457.20810810808</v>
      </c>
      <c r="H21" s="2">
        <v>72844.254339622654</v>
      </c>
      <c r="I21" s="2">
        <f t="shared" si="0"/>
        <v>3.7951820718649723</v>
      </c>
    </row>
    <row r="22" spans="1:9" x14ac:dyDescent="0.35">
      <c r="A22" s="2" t="s">
        <v>428</v>
      </c>
      <c r="B22" s="2" t="s">
        <v>24</v>
      </c>
      <c r="C22" s="2" t="s">
        <v>25</v>
      </c>
      <c r="D22" s="2">
        <v>0.23723639570346799</v>
      </c>
      <c r="E22" s="2">
        <v>2.5232203056433601E-3</v>
      </c>
      <c r="F22" s="2" t="s">
        <v>426</v>
      </c>
      <c r="G22" s="2">
        <v>324003.24250000005</v>
      </c>
      <c r="H22" s="2">
        <v>114000.09374999996</v>
      </c>
      <c r="I22" s="2">
        <f t="shared" si="0"/>
        <v>2.8421313688612662</v>
      </c>
    </row>
    <row r="23" spans="1:9" x14ac:dyDescent="0.35">
      <c r="A23" s="2" t="s">
        <v>428</v>
      </c>
      <c r="B23" s="2" t="s">
        <v>28</v>
      </c>
      <c r="C23" s="2" t="s">
        <v>29</v>
      </c>
      <c r="D23" s="2">
        <v>0.23628686412168401</v>
      </c>
      <c r="E23" s="2">
        <v>3.1752074362260598E-3</v>
      </c>
      <c r="F23" s="2" t="s">
        <v>426</v>
      </c>
      <c r="G23" s="2">
        <v>68492.122857142836</v>
      </c>
      <c r="H23" s="2">
        <v>23983.241428571422</v>
      </c>
      <c r="I23" s="2">
        <f t="shared" si="0"/>
        <v>2.8558326054937528</v>
      </c>
    </row>
    <row r="24" spans="1:9" x14ac:dyDescent="0.35">
      <c r="A24" s="2" t="s">
        <v>428</v>
      </c>
      <c r="B24" s="2" t="s">
        <v>96</v>
      </c>
      <c r="C24" s="2" t="s">
        <v>97</v>
      </c>
      <c r="D24" s="2">
        <v>0.23578505404401301</v>
      </c>
      <c r="E24" s="2">
        <v>2.6863251581605301E-3</v>
      </c>
      <c r="F24" s="2" t="s">
        <v>426</v>
      </c>
      <c r="G24" s="2">
        <v>101891.159375</v>
      </c>
      <c r="H24" s="2">
        <v>43106.023749999986</v>
      </c>
      <c r="I24" s="2">
        <f t="shared" si="0"/>
        <v>2.3637336620499596</v>
      </c>
    </row>
    <row r="25" spans="1:9" x14ac:dyDescent="0.35">
      <c r="A25" s="2" t="s">
        <v>428</v>
      </c>
      <c r="B25" s="2" t="s">
        <v>240</v>
      </c>
      <c r="C25" s="2" t="s">
        <v>241</v>
      </c>
      <c r="D25" s="2">
        <v>0.235223007678421</v>
      </c>
      <c r="E25" s="2">
        <v>2.7520109987407299E-3</v>
      </c>
      <c r="F25" s="2" t="s">
        <v>426</v>
      </c>
      <c r="G25" s="2">
        <v>90867.287499999991</v>
      </c>
      <c r="H25" s="2">
        <v>51764.650125</v>
      </c>
      <c r="I25" s="2">
        <f t="shared" si="0"/>
        <v>1.7553926720373054</v>
      </c>
    </row>
    <row r="26" spans="1:9" x14ac:dyDescent="0.35">
      <c r="A26" s="2" t="s">
        <v>428</v>
      </c>
      <c r="B26" s="2" t="s">
        <v>134</v>
      </c>
      <c r="C26" s="2" t="s">
        <v>135</v>
      </c>
      <c r="D26" s="2">
        <v>0.235192190514772</v>
      </c>
      <c r="E26" s="2">
        <v>2.75565424556685E-3</v>
      </c>
      <c r="F26" s="2" t="s">
        <v>426</v>
      </c>
      <c r="G26" s="2">
        <v>887442.74</v>
      </c>
      <c r="H26" s="2">
        <v>381970.23500000004</v>
      </c>
      <c r="I26" s="2">
        <f t="shared" si="0"/>
        <v>2.323329565195047</v>
      </c>
    </row>
    <row r="27" spans="1:9" x14ac:dyDescent="0.35">
      <c r="A27" s="2" t="s">
        <v>428</v>
      </c>
      <c r="B27" s="2" t="s">
        <v>364</v>
      </c>
      <c r="C27" s="2" t="s">
        <v>365</v>
      </c>
      <c r="D27" s="2">
        <v>0.234237542293699</v>
      </c>
      <c r="E27" s="2">
        <v>3.7936942243021201E-3</v>
      </c>
      <c r="F27" s="2" t="s">
        <v>426</v>
      </c>
      <c r="G27" s="2">
        <v>84076.888666666622</v>
      </c>
      <c r="H27" s="2">
        <v>41023.078947368413</v>
      </c>
      <c r="I27" s="2">
        <f t="shared" si="0"/>
        <v>2.0495021540078739</v>
      </c>
    </row>
    <row r="28" spans="1:9" x14ac:dyDescent="0.35">
      <c r="A28" s="2" t="s">
        <v>428</v>
      </c>
      <c r="B28" s="2" t="s">
        <v>152</v>
      </c>
      <c r="C28" s="2" t="s">
        <v>153</v>
      </c>
      <c r="D28" s="2">
        <v>0.23385237763804601</v>
      </c>
      <c r="E28" s="2">
        <v>2.9183305098064399E-3</v>
      </c>
      <c r="F28" s="2" t="s">
        <v>426</v>
      </c>
      <c r="G28" s="2">
        <v>168187.41624999995</v>
      </c>
      <c r="H28" s="2">
        <v>85494.493750000038</v>
      </c>
      <c r="I28" s="2">
        <f t="shared" si="0"/>
        <v>1.9672309744509116</v>
      </c>
    </row>
    <row r="29" spans="1:9" x14ac:dyDescent="0.35">
      <c r="A29" s="2" t="s">
        <v>428</v>
      </c>
      <c r="B29" s="2" t="s">
        <v>38</v>
      </c>
      <c r="C29" s="2" t="s">
        <v>39</v>
      </c>
      <c r="D29" s="2">
        <v>0.231317531905427</v>
      </c>
      <c r="E29" s="2">
        <v>3.5582649849375302E-3</v>
      </c>
      <c r="F29" s="2" t="s">
        <v>426</v>
      </c>
      <c r="G29" s="2">
        <v>130771.17139240503</v>
      </c>
      <c r="H29" s="2">
        <v>45714.540384615379</v>
      </c>
      <c r="I29" s="2">
        <f t="shared" si="0"/>
        <v>2.8606034380346594</v>
      </c>
    </row>
    <row r="30" spans="1:9" x14ac:dyDescent="0.35">
      <c r="A30" s="2" t="s">
        <v>428</v>
      </c>
      <c r="B30" s="2" t="s">
        <v>342</v>
      </c>
      <c r="C30" s="2" t="s">
        <v>343</v>
      </c>
      <c r="D30" s="2">
        <v>0.230920344639472</v>
      </c>
      <c r="E30" s="2">
        <v>3.3049967634569502E-3</v>
      </c>
      <c r="F30" s="2" t="s">
        <v>426</v>
      </c>
      <c r="G30" s="2">
        <v>214243.22875000001</v>
      </c>
      <c r="H30" s="2">
        <v>82649.457874999993</v>
      </c>
      <c r="I30" s="2">
        <f t="shared" si="0"/>
        <v>2.5921915794538419</v>
      </c>
    </row>
    <row r="31" spans="1:9" x14ac:dyDescent="0.35">
      <c r="A31" s="2" t="s">
        <v>428</v>
      </c>
      <c r="B31" s="2" t="s">
        <v>158</v>
      </c>
      <c r="C31" s="2" t="s">
        <v>159</v>
      </c>
      <c r="D31" s="2">
        <v>0.22970787074253099</v>
      </c>
      <c r="E31" s="2">
        <v>3.5831409856413102E-3</v>
      </c>
      <c r="F31" s="2" t="s">
        <v>426</v>
      </c>
      <c r="G31" s="2">
        <v>188668.94683544297</v>
      </c>
      <c r="H31" s="2">
        <v>92392.474999999977</v>
      </c>
      <c r="I31" s="2">
        <f t="shared" si="0"/>
        <v>2.0420380213371598</v>
      </c>
    </row>
    <row r="32" spans="1:9" x14ac:dyDescent="0.35">
      <c r="A32" s="2" t="s">
        <v>428</v>
      </c>
      <c r="B32" s="2" t="s">
        <v>214</v>
      </c>
      <c r="C32" s="2" t="s">
        <v>215</v>
      </c>
      <c r="D32" s="2">
        <v>0.22812366291654601</v>
      </c>
      <c r="E32" s="2">
        <v>4.1804489775254501E-3</v>
      </c>
      <c r="F32" s="2" t="s">
        <v>426</v>
      </c>
      <c r="G32" s="2">
        <v>398729.15749999991</v>
      </c>
      <c r="H32" s="2">
        <v>194307.75407894739</v>
      </c>
      <c r="I32" s="2">
        <f t="shared" si="0"/>
        <v>2.0520496435669568</v>
      </c>
    </row>
    <row r="33" spans="1:9" x14ac:dyDescent="0.35">
      <c r="A33" s="2" t="s">
        <v>428</v>
      </c>
      <c r="B33" s="2" t="s">
        <v>72</v>
      </c>
      <c r="C33" s="2" t="s">
        <v>73</v>
      </c>
      <c r="D33" s="2">
        <v>0.22796442260528099</v>
      </c>
      <c r="E33" s="2">
        <v>3.9673531619070397E-3</v>
      </c>
      <c r="F33" s="2" t="s">
        <v>426</v>
      </c>
      <c r="G33" s="2">
        <v>266805.05641025637</v>
      </c>
      <c r="H33" s="2">
        <v>106849.03124999997</v>
      </c>
      <c r="I33" s="2">
        <f t="shared" si="0"/>
        <v>2.497028314519758</v>
      </c>
    </row>
    <row r="34" spans="1:9" x14ac:dyDescent="0.35">
      <c r="A34" s="2" t="s">
        <v>428</v>
      </c>
      <c r="B34" s="2" t="s">
        <v>362</v>
      </c>
      <c r="C34" s="2" t="s">
        <v>363</v>
      </c>
      <c r="D34" s="2">
        <v>0.225026928962657</v>
      </c>
      <c r="E34" s="2">
        <v>4.2249574433900899E-3</v>
      </c>
      <c r="F34" s="2" t="s">
        <v>426</v>
      </c>
      <c r="G34" s="2">
        <v>87772.988750000019</v>
      </c>
      <c r="H34" s="2">
        <v>39057.19375000002</v>
      </c>
      <c r="I34" s="2">
        <f t="shared" si="0"/>
        <v>2.2472937843876704</v>
      </c>
    </row>
    <row r="35" spans="1:9" x14ac:dyDescent="0.35">
      <c r="A35" s="2" t="s">
        <v>428</v>
      </c>
      <c r="B35" s="2" t="s">
        <v>340</v>
      </c>
      <c r="C35" s="2" t="s">
        <v>341</v>
      </c>
      <c r="D35" s="2">
        <v>0.224225254705438</v>
      </c>
      <c r="E35" s="2">
        <v>5.1806820331638699E-3</v>
      </c>
      <c r="F35" s="2" t="s">
        <v>426</v>
      </c>
      <c r="G35" s="2">
        <v>48310.948461538472</v>
      </c>
      <c r="H35" s="2">
        <v>26053.12407894737</v>
      </c>
      <c r="I35" s="2">
        <f t="shared" si="0"/>
        <v>1.8543245836907858</v>
      </c>
    </row>
    <row r="36" spans="1:9" x14ac:dyDescent="0.35">
      <c r="A36" s="2" t="s">
        <v>428</v>
      </c>
      <c r="B36" s="2" t="s">
        <v>62</v>
      </c>
      <c r="C36" s="2" t="s">
        <v>63</v>
      </c>
      <c r="D36" s="2">
        <v>0.223626949242617</v>
      </c>
      <c r="E36" s="2">
        <v>4.47480884830017E-3</v>
      </c>
      <c r="F36" s="2" t="s">
        <v>426</v>
      </c>
      <c r="G36" s="2">
        <v>218867.12999999998</v>
      </c>
      <c r="H36" s="2">
        <v>95203.123749999984</v>
      </c>
      <c r="I36" s="2">
        <f t="shared" si="0"/>
        <v>2.2989490405245241</v>
      </c>
    </row>
    <row r="37" spans="1:9" x14ac:dyDescent="0.35">
      <c r="A37" s="2" t="s">
        <v>428</v>
      </c>
      <c r="B37" s="2" t="s">
        <v>70</v>
      </c>
      <c r="C37" s="2" t="s">
        <v>71</v>
      </c>
      <c r="D37" s="2">
        <v>0.22137900196257301</v>
      </c>
      <c r="E37" s="2">
        <v>6.3003728000867896E-3</v>
      </c>
      <c r="F37" s="2" t="s">
        <v>426</v>
      </c>
      <c r="G37" s="2">
        <v>173811.14935064936</v>
      </c>
      <c r="H37" s="2">
        <v>74041.163378378391</v>
      </c>
      <c r="I37" s="2">
        <f t="shared" si="0"/>
        <v>2.3474934944283432</v>
      </c>
    </row>
    <row r="38" spans="1:9" x14ac:dyDescent="0.35">
      <c r="A38" s="2" t="s">
        <v>428</v>
      </c>
      <c r="B38" s="2" t="s">
        <v>284</v>
      </c>
      <c r="C38" s="2" t="s">
        <v>285</v>
      </c>
      <c r="D38" s="2">
        <v>0.22125843009361901</v>
      </c>
      <c r="E38" s="2">
        <v>4.9278385934525201E-3</v>
      </c>
      <c r="F38" s="2" t="s">
        <v>426</v>
      </c>
      <c r="G38" s="2">
        <v>630412.61875000002</v>
      </c>
      <c r="H38" s="2">
        <v>356285.36749999999</v>
      </c>
      <c r="I38" s="2">
        <f t="shared" si="0"/>
        <v>1.7694036192771796</v>
      </c>
    </row>
    <row r="39" spans="1:9" x14ac:dyDescent="0.35">
      <c r="A39" s="2" t="s">
        <v>428</v>
      </c>
      <c r="B39" s="2" t="s">
        <v>0</v>
      </c>
      <c r="C39" s="2" t="s">
        <v>1</v>
      </c>
      <c r="D39" s="2">
        <v>0.220235593757279</v>
      </c>
      <c r="E39" s="2">
        <v>5.13587166031239E-3</v>
      </c>
      <c r="F39" s="2" t="s">
        <v>426</v>
      </c>
      <c r="G39" s="2">
        <v>7601321.7750000004</v>
      </c>
      <c r="H39" s="2">
        <v>1526538.6012499998</v>
      </c>
      <c r="I39" s="2">
        <f t="shared" si="0"/>
        <v>4.9794494346724605</v>
      </c>
    </row>
    <row r="40" spans="1:9" x14ac:dyDescent="0.35">
      <c r="A40" s="2" t="s">
        <v>428</v>
      </c>
      <c r="B40" s="2" t="s">
        <v>244</v>
      </c>
      <c r="C40" s="2" t="s">
        <v>245</v>
      </c>
      <c r="D40" s="2">
        <v>0.21892128214881901</v>
      </c>
      <c r="E40" s="2">
        <v>6.2046552894670101E-3</v>
      </c>
      <c r="F40" s="2" t="s">
        <v>426</v>
      </c>
      <c r="G40" s="2">
        <v>58737.325324675323</v>
      </c>
      <c r="H40" s="2">
        <v>36159.329487179486</v>
      </c>
      <c r="I40" s="2">
        <f t="shared" si="0"/>
        <v>1.6244030560771601</v>
      </c>
    </row>
    <row r="41" spans="1:9" x14ac:dyDescent="0.35">
      <c r="A41" s="2" t="s">
        <v>428</v>
      </c>
      <c r="B41" s="2" t="s">
        <v>252</v>
      </c>
      <c r="C41" s="2" t="s">
        <v>253</v>
      </c>
      <c r="D41" s="2">
        <v>0.217712988790038</v>
      </c>
      <c r="E41" s="2">
        <v>5.6829234737482397E-3</v>
      </c>
      <c r="F41" s="2" t="s">
        <v>426</v>
      </c>
      <c r="G41" s="2">
        <v>511502.99124999996</v>
      </c>
      <c r="H41" s="2">
        <v>284993.52749999997</v>
      </c>
      <c r="I41" s="2">
        <f t="shared" si="0"/>
        <v>1.794788098301636</v>
      </c>
    </row>
    <row r="42" spans="1:9" x14ac:dyDescent="0.35">
      <c r="A42" s="2" t="s">
        <v>428</v>
      </c>
      <c r="B42" s="2" t="s">
        <v>10</v>
      </c>
      <c r="C42" s="2" t="s">
        <v>11</v>
      </c>
      <c r="D42" s="2">
        <v>0.21768080451273</v>
      </c>
      <c r="E42" s="2">
        <v>9.5148705432269304E-3</v>
      </c>
      <c r="F42" s="2" t="s">
        <v>426</v>
      </c>
      <c r="G42" s="2">
        <v>166201.2124242424</v>
      </c>
      <c r="H42" s="2">
        <v>45446.235599999993</v>
      </c>
      <c r="I42" s="2">
        <f t="shared" si="0"/>
        <v>3.6570952517845599</v>
      </c>
    </row>
    <row r="43" spans="1:9" x14ac:dyDescent="0.35">
      <c r="A43" s="2" t="s">
        <v>428</v>
      </c>
      <c r="B43" s="2" t="s">
        <v>334</v>
      </c>
      <c r="C43" s="2" t="s">
        <v>335</v>
      </c>
      <c r="D43" s="2">
        <v>0.215517632751065</v>
      </c>
      <c r="E43" s="2">
        <v>6.2007594085992596E-3</v>
      </c>
      <c r="F43" s="2" t="s">
        <v>426</v>
      </c>
      <c r="G43" s="2">
        <v>160286.91624999992</v>
      </c>
      <c r="H43" s="2">
        <v>64718.588999999978</v>
      </c>
      <c r="I43" s="2">
        <f t="shared" si="0"/>
        <v>2.4766750747609776</v>
      </c>
    </row>
    <row r="44" spans="1:9" x14ac:dyDescent="0.35">
      <c r="A44" s="2" t="s">
        <v>428</v>
      </c>
      <c r="B44" s="2" t="s">
        <v>324</v>
      </c>
      <c r="C44" s="2" t="s">
        <v>325</v>
      </c>
      <c r="D44" s="2">
        <v>0.21405308373576101</v>
      </c>
      <c r="E44" s="2">
        <v>6.5692152410008597E-3</v>
      </c>
      <c r="F44" s="2" t="s">
        <v>426</v>
      </c>
      <c r="G44" s="2">
        <v>122349.64000000004</v>
      </c>
      <c r="H44" s="2">
        <v>78594.17624999999</v>
      </c>
      <c r="I44" s="2">
        <f t="shared" si="0"/>
        <v>1.5567265392644161</v>
      </c>
    </row>
    <row r="45" spans="1:9" x14ac:dyDescent="0.35">
      <c r="A45" s="2" t="s">
        <v>428</v>
      </c>
      <c r="B45" s="2" t="s">
        <v>372</v>
      </c>
      <c r="C45" s="2" t="s">
        <v>373</v>
      </c>
      <c r="D45" s="2">
        <v>0.213946163187966</v>
      </c>
      <c r="E45" s="2">
        <v>1.94723328743901E-2</v>
      </c>
      <c r="F45" s="2" t="s">
        <v>426</v>
      </c>
      <c r="G45" s="2">
        <v>16180.942962962959</v>
      </c>
      <c r="H45" s="2">
        <v>9990.3532307692331</v>
      </c>
      <c r="I45" s="2">
        <f t="shared" si="0"/>
        <v>1.6196567417783951</v>
      </c>
    </row>
    <row r="46" spans="1:9" x14ac:dyDescent="0.35">
      <c r="A46" s="2" t="s">
        <v>428</v>
      </c>
      <c r="B46" s="2" t="s">
        <v>16</v>
      </c>
      <c r="C46" s="2" t="s">
        <v>17</v>
      </c>
      <c r="D46" s="2">
        <v>0.213755184487157</v>
      </c>
      <c r="E46" s="2">
        <v>6.6465055307326996E-3</v>
      </c>
      <c r="F46" s="2" t="s">
        <v>426</v>
      </c>
      <c r="G46" s="2">
        <v>552103.27</v>
      </c>
      <c r="H46" s="2">
        <v>177142.20874999999</v>
      </c>
      <c r="I46" s="2">
        <f t="shared" si="0"/>
        <v>3.1167234161519399</v>
      </c>
    </row>
    <row r="47" spans="1:9" x14ac:dyDescent="0.35">
      <c r="A47" s="2" t="s">
        <v>428</v>
      </c>
      <c r="B47" s="2" t="s">
        <v>256</v>
      </c>
      <c r="C47" s="2" t="s">
        <v>257</v>
      </c>
      <c r="D47" s="2">
        <v>0.21336189877964101</v>
      </c>
      <c r="E47" s="2">
        <v>6.7497837511267499E-3</v>
      </c>
      <c r="F47" s="2" t="s">
        <v>426</v>
      </c>
      <c r="G47" s="2">
        <v>557315.03875000007</v>
      </c>
      <c r="H47" s="2">
        <v>332640.20499999996</v>
      </c>
      <c r="I47" s="2">
        <f t="shared" si="0"/>
        <v>1.675428978135701</v>
      </c>
    </row>
    <row r="48" spans="1:9" x14ac:dyDescent="0.35">
      <c r="A48" s="2" t="s">
        <v>428</v>
      </c>
      <c r="B48" s="2" t="s">
        <v>44</v>
      </c>
      <c r="C48" s="2" t="s">
        <v>45</v>
      </c>
      <c r="D48" s="2">
        <v>0.21257532736460799</v>
      </c>
      <c r="E48" s="2">
        <v>6.9606354798934598E-3</v>
      </c>
      <c r="F48" s="2" t="s">
        <v>426</v>
      </c>
      <c r="G48" s="2">
        <v>318931.92</v>
      </c>
      <c r="H48" s="2">
        <v>123641.34749999996</v>
      </c>
      <c r="I48" s="2">
        <f t="shared" si="0"/>
        <v>2.5794924307178073</v>
      </c>
    </row>
    <row r="49" spans="1:9" x14ac:dyDescent="0.35">
      <c r="A49" s="2" t="s">
        <v>428</v>
      </c>
      <c r="B49" s="2" t="s">
        <v>180</v>
      </c>
      <c r="C49" s="2" t="s">
        <v>181</v>
      </c>
      <c r="D49" s="2">
        <v>0.21223456392642601</v>
      </c>
      <c r="E49" s="2">
        <v>8.2302005825180199E-3</v>
      </c>
      <c r="F49" s="2" t="s">
        <v>426</v>
      </c>
      <c r="G49" s="2">
        <v>202737.3</v>
      </c>
      <c r="H49" s="2">
        <v>104180.18875000002</v>
      </c>
      <c r="I49" s="2">
        <f t="shared" si="0"/>
        <v>1.9460254625426561</v>
      </c>
    </row>
    <row r="50" spans="1:9" x14ac:dyDescent="0.35">
      <c r="A50" s="2" t="s">
        <v>428</v>
      </c>
      <c r="B50" s="2" t="s">
        <v>114</v>
      </c>
      <c r="C50" s="2" t="s">
        <v>115</v>
      </c>
      <c r="D50" s="2">
        <v>0.21135584817451</v>
      </c>
      <c r="E50" s="2">
        <v>7.2991287691018302E-3</v>
      </c>
      <c r="F50" s="2" t="s">
        <v>426</v>
      </c>
      <c r="G50" s="2">
        <v>169925.16125000006</v>
      </c>
      <c r="H50" s="2">
        <v>73096.956250000017</v>
      </c>
      <c r="I50" s="2">
        <f t="shared" si="0"/>
        <v>2.3246544037871621</v>
      </c>
    </row>
    <row r="51" spans="1:9" x14ac:dyDescent="0.35">
      <c r="A51" s="2" t="s">
        <v>428</v>
      </c>
      <c r="B51" s="2" t="s">
        <v>140</v>
      </c>
      <c r="C51" s="2" t="s">
        <v>141</v>
      </c>
      <c r="D51" s="2">
        <v>0.211217904680083</v>
      </c>
      <c r="E51" s="2">
        <v>7.3383243566503597E-3</v>
      </c>
      <c r="F51" s="2" t="s">
        <v>426</v>
      </c>
      <c r="G51" s="2">
        <v>1262415.5699999998</v>
      </c>
      <c r="H51" s="2">
        <v>573320.36125000007</v>
      </c>
      <c r="I51" s="2">
        <f t="shared" si="0"/>
        <v>2.201937442527905</v>
      </c>
    </row>
    <row r="52" spans="1:9" x14ac:dyDescent="0.35">
      <c r="A52" s="2" t="s">
        <v>428</v>
      </c>
      <c r="B52" s="2" t="s">
        <v>12</v>
      </c>
      <c r="C52" s="2" t="s">
        <v>13</v>
      </c>
      <c r="D52" s="2">
        <v>0.21088038336393</v>
      </c>
      <c r="E52" s="2">
        <v>7.43501819100615E-3</v>
      </c>
      <c r="F52" s="2" t="s">
        <v>426</v>
      </c>
      <c r="G52" s="2">
        <v>683866.33</v>
      </c>
      <c r="H52" s="2">
        <v>230505.54174999995</v>
      </c>
      <c r="I52" s="2">
        <f t="shared" si="0"/>
        <v>2.9668107968601589</v>
      </c>
    </row>
    <row r="53" spans="1:9" x14ac:dyDescent="0.35">
      <c r="A53" s="2" t="s">
        <v>428</v>
      </c>
      <c r="B53" s="2" t="s">
        <v>234</v>
      </c>
      <c r="C53" s="2" t="s">
        <v>235</v>
      </c>
      <c r="D53" s="2">
        <v>0.210335007872474</v>
      </c>
      <c r="E53" s="2">
        <v>7.7877860159682004E-3</v>
      </c>
      <c r="F53" s="2" t="s">
        <v>426</v>
      </c>
      <c r="G53" s="2">
        <v>166676.4316455696</v>
      </c>
      <c r="H53" s="2">
        <v>98095.353750000009</v>
      </c>
      <c r="I53" s="2">
        <f t="shared" si="0"/>
        <v>1.699126668836439</v>
      </c>
    </row>
    <row r="54" spans="1:9" x14ac:dyDescent="0.35">
      <c r="A54" s="2" t="s">
        <v>428</v>
      </c>
      <c r="B54" s="2" t="s">
        <v>306</v>
      </c>
      <c r="C54" s="2" t="s">
        <v>307</v>
      </c>
      <c r="D54" s="2">
        <v>0.21004745254693599</v>
      </c>
      <c r="E54" s="2">
        <v>9.1613049384740401E-3</v>
      </c>
      <c r="F54" s="2" t="s">
        <v>426</v>
      </c>
      <c r="G54" s="2">
        <v>25599.615131578943</v>
      </c>
      <c r="H54" s="2">
        <v>15815.303766233765</v>
      </c>
      <c r="I54" s="2">
        <f t="shared" si="0"/>
        <v>1.618660982423558</v>
      </c>
    </row>
    <row r="55" spans="1:9" x14ac:dyDescent="0.35">
      <c r="A55" s="2" t="s">
        <v>428</v>
      </c>
      <c r="B55" s="2" t="s">
        <v>276</v>
      </c>
      <c r="C55" s="2" t="s">
        <v>277</v>
      </c>
      <c r="D55" s="2">
        <v>0.20941436686464299</v>
      </c>
      <c r="E55" s="2">
        <v>7.8682663834170209E-3</v>
      </c>
      <c r="F55" s="2" t="s">
        <v>426</v>
      </c>
      <c r="G55" s="2">
        <v>1948973.50125</v>
      </c>
      <c r="H55" s="2">
        <v>1051037.4375</v>
      </c>
      <c r="I55" s="2">
        <f t="shared" si="0"/>
        <v>1.8543330919646712</v>
      </c>
    </row>
    <row r="56" spans="1:9" x14ac:dyDescent="0.35">
      <c r="A56" s="2" t="s">
        <v>428</v>
      </c>
      <c r="B56" s="2" t="s">
        <v>400</v>
      </c>
      <c r="C56" s="2" t="s">
        <v>401</v>
      </c>
      <c r="D56" s="2">
        <v>0.20789971360260001</v>
      </c>
      <c r="E56" s="2">
        <v>3.24758720139963E-2</v>
      </c>
      <c r="F56" s="2" t="s">
        <v>426</v>
      </c>
      <c r="G56" s="2">
        <v>20155.528245614041</v>
      </c>
      <c r="H56" s="2">
        <v>10072.038979591835</v>
      </c>
      <c r="I56" s="2">
        <f t="shared" si="0"/>
        <v>2.0011368389710933</v>
      </c>
    </row>
    <row r="57" spans="1:9" x14ac:dyDescent="0.35">
      <c r="A57" s="2" t="s">
        <v>428</v>
      </c>
      <c r="B57" s="2" t="s">
        <v>50</v>
      </c>
      <c r="C57" s="2" t="s">
        <v>51</v>
      </c>
      <c r="D57" s="2">
        <v>0.20775839293248599</v>
      </c>
      <c r="E57" s="2">
        <v>9.0289597211423104E-3</v>
      </c>
      <c r="F57" s="2" t="s">
        <v>426</v>
      </c>
      <c r="G57" s="2">
        <v>86834.865316455674</v>
      </c>
      <c r="H57" s="2">
        <v>36776.530128205137</v>
      </c>
      <c r="I57" s="2">
        <f t="shared" si="0"/>
        <v>2.3611489450947181</v>
      </c>
    </row>
    <row r="58" spans="1:9" x14ac:dyDescent="0.35">
      <c r="A58" s="2" t="s">
        <v>428</v>
      </c>
      <c r="B58" s="2" t="s">
        <v>22</v>
      </c>
      <c r="C58" s="2" t="s">
        <v>23</v>
      </c>
      <c r="D58" s="2">
        <v>0.20762697137302</v>
      </c>
      <c r="E58" s="2">
        <v>8.4266905152371903E-3</v>
      </c>
      <c r="F58" s="2" t="s">
        <v>426</v>
      </c>
      <c r="G58" s="2">
        <v>399298.92</v>
      </c>
      <c r="H58" s="2">
        <v>122655.93625</v>
      </c>
      <c r="I58" s="2">
        <f t="shared" si="0"/>
        <v>3.255439012638901</v>
      </c>
    </row>
    <row r="59" spans="1:9" x14ac:dyDescent="0.35">
      <c r="A59" s="2" t="s">
        <v>428</v>
      </c>
      <c r="B59" s="2" t="s">
        <v>398</v>
      </c>
      <c r="C59" s="2" t="s">
        <v>399</v>
      </c>
      <c r="D59" s="2">
        <v>0.207010628100046</v>
      </c>
      <c r="E59" s="2">
        <v>8.6272353169566905E-3</v>
      </c>
      <c r="F59" s="2" t="s">
        <v>426</v>
      </c>
      <c r="G59" s="2">
        <v>101258.44375000001</v>
      </c>
      <c r="H59" s="2">
        <v>59095.872875000001</v>
      </c>
      <c r="I59" s="2">
        <f t="shared" si="0"/>
        <v>1.7134604977268475</v>
      </c>
    </row>
    <row r="60" spans="1:9" x14ac:dyDescent="0.35">
      <c r="A60" s="2" t="s">
        <v>428</v>
      </c>
      <c r="B60" s="2" t="s">
        <v>36</v>
      </c>
      <c r="C60" s="2" t="s">
        <v>37</v>
      </c>
      <c r="D60" s="2">
        <v>0.20695339622469899</v>
      </c>
      <c r="E60" s="2">
        <v>8.6460700163610398E-3</v>
      </c>
      <c r="F60" s="2" t="s">
        <v>426</v>
      </c>
      <c r="G60" s="2">
        <v>434733.27250000014</v>
      </c>
      <c r="H60" s="2">
        <v>139147.02900000004</v>
      </c>
      <c r="I60" s="2">
        <f t="shared" si="0"/>
        <v>3.1242727611525218</v>
      </c>
    </row>
    <row r="61" spans="1:9" x14ac:dyDescent="0.35">
      <c r="A61" s="2" t="s">
        <v>428</v>
      </c>
      <c r="B61" s="2" t="s">
        <v>126</v>
      </c>
      <c r="C61" s="2" t="s">
        <v>127</v>
      </c>
      <c r="D61" s="2">
        <v>0.206601342346314</v>
      </c>
      <c r="E61" s="2">
        <v>9.2013893366191604E-3</v>
      </c>
      <c r="F61" s="2" t="s">
        <v>426</v>
      </c>
      <c r="G61" s="2">
        <v>71775.651898734184</v>
      </c>
      <c r="H61" s="2">
        <v>31272.760759493689</v>
      </c>
      <c r="I61" s="2">
        <f t="shared" si="0"/>
        <v>2.2951492019119146</v>
      </c>
    </row>
    <row r="62" spans="1:9" x14ac:dyDescent="0.35">
      <c r="A62" s="2" t="s">
        <v>428</v>
      </c>
      <c r="B62" s="2" t="s">
        <v>8</v>
      </c>
      <c r="C62" s="2" t="s">
        <v>9</v>
      </c>
      <c r="D62" s="2">
        <v>0.20657249223589599</v>
      </c>
      <c r="E62" s="2">
        <v>1.1205047511659299E-2</v>
      </c>
      <c r="F62" s="2" t="s">
        <v>426</v>
      </c>
      <c r="G62" s="2">
        <v>91797.195394736846</v>
      </c>
      <c r="H62" s="2">
        <v>23482.537027027025</v>
      </c>
      <c r="I62" s="2">
        <f t="shared" si="0"/>
        <v>3.9091685574298745</v>
      </c>
    </row>
    <row r="63" spans="1:9" x14ac:dyDescent="0.35">
      <c r="A63" s="2" t="s">
        <v>428</v>
      </c>
      <c r="B63" s="2" t="s">
        <v>68</v>
      </c>
      <c r="C63" s="2" t="s">
        <v>69</v>
      </c>
      <c r="D63" s="2">
        <v>0.206564512969132</v>
      </c>
      <c r="E63" s="2">
        <v>8.7750162170402192E-3</v>
      </c>
      <c r="F63" s="2" t="s">
        <v>426</v>
      </c>
      <c r="G63" s="2">
        <v>395093.65875000006</v>
      </c>
      <c r="H63" s="2">
        <v>152690.66375000001</v>
      </c>
      <c r="I63" s="2">
        <f t="shared" si="0"/>
        <v>2.5875430039186011</v>
      </c>
    </row>
    <row r="64" spans="1:9" x14ac:dyDescent="0.35">
      <c r="A64" s="2" t="s">
        <v>428</v>
      </c>
      <c r="B64" s="2" t="s">
        <v>354</v>
      </c>
      <c r="C64" s="2" t="s">
        <v>355</v>
      </c>
      <c r="D64" s="2">
        <v>0.20635198115990899</v>
      </c>
      <c r="E64" s="2">
        <v>9.2880238131939803E-3</v>
      </c>
      <c r="F64" s="2" t="s">
        <v>426</v>
      </c>
      <c r="G64" s="2">
        <v>112071.34177215189</v>
      </c>
      <c r="H64" s="2">
        <v>67823.935443037946</v>
      </c>
      <c r="I64" s="2">
        <f t="shared" si="0"/>
        <v>1.6523863005011734</v>
      </c>
    </row>
    <row r="65" spans="1:9" x14ac:dyDescent="0.35">
      <c r="A65" s="2" t="s">
        <v>428</v>
      </c>
      <c r="B65" s="2" t="s">
        <v>294</v>
      </c>
      <c r="C65" s="2" t="s">
        <v>295</v>
      </c>
      <c r="D65" s="2">
        <v>0.206201278454475</v>
      </c>
      <c r="E65" s="2">
        <v>9.3407305467045794E-3</v>
      </c>
      <c r="F65" s="2" t="s">
        <v>426</v>
      </c>
      <c r="G65" s="2">
        <v>58318.635189873436</v>
      </c>
      <c r="H65" s="2">
        <v>35386.260253164553</v>
      </c>
      <c r="I65" s="2">
        <f t="shared" si="0"/>
        <v>1.648058731627569</v>
      </c>
    </row>
    <row r="66" spans="1:9" x14ac:dyDescent="0.35">
      <c r="A66" s="2" t="s">
        <v>428</v>
      </c>
      <c r="B66" s="2" t="s">
        <v>18</v>
      </c>
      <c r="C66" s="2" t="s">
        <v>19</v>
      </c>
      <c r="D66" s="2">
        <v>0.205109784903304</v>
      </c>
      <c r="E66" s="2">
        <v>9.4986827532601206E-3</v>
      </c>
      <c r="F66" s="2" t="s">
        <v>426</v>
      </c>
      <c r="G66" s="2">
        <v>292393.90625000012</v>
      </c>
      <c r="H66" s="2">
        <v>89888.811645569614</v>
      </c>
      <c r="I66" s="2">
        <f t="shared" si="0"/>
        <v>3.2528398239694769</v>
      </c>
    </row>
    <row r="67" spans="1:9" x14ac:dyDescent="0.35">
      <c r="A67" s="2" t="s">
        <v>428</v>
      </c>
      <c r="B67" s="2" t="s">
        <v>130</v>
      </c>
      <c r="C67" s="2" t="s">
        <v>131</v>
      </c>
      <c r="D67" s="2">
        <v>0.203833525276266</v>
      </c>
      <c r="E67" s="2">
        <v>9.7294960575353192E-3</v>
      </c>
      <c r="F67" s="2" t="s">
        <v>426</v>
      </c>
      <c r="G67" s="2">
        <v>422975.44500000001</v>
      </c>
      <c r="H67" s="2">
        <v>189653.69625000001</v>
      </c>
      <c r="I67" s="2">
        <f t="shared" si="0"/>
        <v>2.2302515235054376</v>
      </c>
    </row>
    <row r="68" spans="1:9" x14ac:dyDescent="0.35">
      <c r="A68" s="2" t="s">
        <v>428</v>
      </c>
      <c r="B68" s="2" t="s">
        <v>138</v>
      </c>
      <c r="C68" s="2" t="s">
        <v>139</v>
      </c>
      <c r="D68" s="2">
        <v>0.203383795381161</v>
      </c>
      <c r="E68" s="2">
        <v>1.0375961751973301E-2</v>
      </c>
      <c r="F68" s="2" t="s">
        <v>426</v>
      </c>
      <c r="G68" s="2">
        <v>95190.360759493618</v>
      </c>
      <c r="H68" s="2">
        <v>47508.822658227858</v>
      </c>
      <c r="I68" s="2">
        <f t="shared" ref="I68:I131" si="1">G68/H68</f>
        <v>2.0036354393431384</v>
      </c>
    </row>
    <row r="69" spans="1:9" x14ac:dyDescent="0.35">
      <c r="A69" s="2" t="s">
        <v>428</v>
      </c>
      <c r="B69" s="2" t="s">
        <v>226</v>
      </c>
      <c r="C69" s="2" t="s">
        <v>227</v>
      </c>
      <c r="D69" s="2">
        <v>0.20326120652279001</v>
      </c>
      <c r="E69" s="2">
        <v>9.9407621310181292E-3</v>
      </c>
      <c r="F69" s="2" t="s">
        <v>426</v>
      </c>
      <c r="G69" s="2">
        <v>119531.15000000002</v>
      </c>
      <c r="H69" s="2">
        <v>66765.216250000012</v>
      </c>
      <c r="I69" s="2">
        <f t="shared" si="1"/>
        <v>1.7903207195857769</v>
      </c>
    </row>
    <row r="70" spans="1:9" x14ac:dyDescent="0.35">
      <c r="A70" s="2" t="s">
        <v>428</v>
      </c>
      <c r="B70" s="2" t="s">
        <v>190</v>
      </c>
      <c r="C70" s="2" t="s">
        <v>191</v>
      </c>
      <c r="D70" s="2">
        <v>0.20138282702420399</v>
      </c>
      <c r="E70" s="2">
        <v>1.0662863633189201E-2</v>
      </c>
      <c r="F70" s="2" t="s">
        <v>426</v>
      </c>
      <c r="G70" s="2">
        <v>204832.78375</v>
      </c>
      <c r="H70" s="2">
        <v>97423.007500000022</v>
      </c>
      <c r="I70" s="2">
        <f t="shared" si="1"/>
        <v>2.1025093456491781</v>
      </c>
    </row>
    <row r="71" spans="1:9" x14ac:dyDescent="0.35">
      <c r="A71" s="2" t="s">
        <v>428</v>
      </c>
      <c r="B71" s="2" t="s">
        <v>292</v>
      </c>
      <c r="C71" s="2" t="s">
        <v>293</v>
      </c>
      <c r="D71" s="2">
        <v>0.19825121620390501</v>
      </c>
      <c r="E71" s="2">
        <v>1.1969764341320899E-2</v>
      </c>
      <c r="F71" s="2" t="s">
        <v>426</v>
      </c>
      <c r="G71" s="2">
        <v>125672.79625000001</v>
      </c>
      <c r="H71" s="2">
        <v>74440.336249999993</v>
      </c>
      <c r="I71" s="2">
        <f t="shared" si="1"/>
        <v>1.6882352039348831</v>
      </c>
    </row>
    <row r="72" spans="1:9" x14ac:dyDescent="0.35">
      <c r="A72" s="2" t="s">
        <v>428</v>
      </c>
      <c r="B72" s="2" t="s">
        <v>56</v>
      </c>
      <c r="C72" s="2" t="s">
        <v>57</v>
      </c>
      <c r="D72" s="2">
        <v>0.197946627250361</v>
      </c>
      <c r="E72" s="2">
        <v>1.2952063384328199E-2</v>
      </c>
      <c r="F72" s="2" t="s">
        <v>426</v>
      </c>
      <c r="G72" s="2">
        <v>138861.77875</v>
      </c>
      <c r="H72" s="2">
        <v>56730.174935064941</v>
      </c>
      <c r="I72" s="2">
        <f t="shared" si="1"/>
        <v>2.4477586911893954</v>
      </c>
    </row>
    <row r="73" spans="1:9" x14ac:dyDescent="0.35">
      <c r="A73" s="2" t="s">
        <v>428</v>
      </c>
      <c r="B73" s="2" t="s">
        <v>128</v>
      </c>
      <c r="C73" s="2" t="s">
        <v>129</v>
      </c>
      <c r="D73" s="2">
        <v>0.19734662293411101</v>
      </c>
      <c r="E73" s="2">
        <v>1.5847485910720299E-2</v>
      </c>
      <c r="F73" s="2" t="s">
        <v>426</v>
      </c>
      <c r="G73" s="2">
        <v>48262.984266666666</v>
      </c>
      <c r="H73" s="2">
        <v>25070.288648648653</v>
      </c>
      <c r="I73" s="2">
        <f t="shared" si="1"/>
        <v>1.9251068443229973</v>
      </c>
    </row>
    <row r="74" spans="1:9" x14ac:dyDescent="0.35">
      <c r="A74" s="2" t="s">
        <v>428</v>
      </c>
      <c r="B74" s="2" t="s">
        <v>314</v>
      </c>
      <c r="C74" s="2" t="s">
        <v>315</v>
      </c>
      <c r="D74" s="2">
        <v>0.196133250012268</v>
      </c>
      <c r="E74" s="2">
        <v>1.41322516889277E-2</v>
      </c>
      <c r="F74" s="2" t="s">
        <v>426</v>
      </c>
      <c r="G74" s="2">
        <v>31979.245974025966</v>
      </c>
      <c r="H74" s="2">
        <v>20535.75797468354</v>
      </c>
      <c r="I74" s="2">
        <f t="shared" si="1"/>
        <v>1.5572469257501937</v>
      </c>
    </row>
    <row r="75" spans="1:9" x14ac:dyDescent="0.35">
      <c r="A75" s="2" t="s">
        <v>428</v>
      </c>
      <c r="B75" s="2" t="s">
        <v>300</v>
      </c>
      <c r="C75" s="2" t="s">
        <v>301</v>
      </c>
      <c r="D75" s="2">
        <v>0.195631757293767</v>
      </c>
      <c r="E75" s="2">
        <v>1.3168895557400501E-2</v>
      </c>
      <c r="F75" s="2" t="s">
        <v>426</v>
      </c>
      <c r="G75" s="2">
        <v>209405.04374999998</v>
      </c>
      <c r="H75" s="2">
        <v>127120.28374999999</v>
      </c>
      <c r="I75" s="2">
        <f t="shared" si="1"/>
        <v>1.6472984292721107</v>
      </c>
    </row>
    <row r="76" spans="1:9" x14ac:dyDescent="0.35">
      <c r="A76" s="2" t="s">
        <v>428</v>
      </c>
      <c r="B76" s="2" t="s">
        <v>206</v>
      </c>
      <c r="C76" s="2" t="s">
        <v>207</v>
      </c>
      <c r="D76" s="2">
        <v>0.19554512646612701</v>
      </c>
      <c r="E76" s="2">
        <v>1.6850667211079001E-2</v>
      </c>
      <c r="F76" s="2" t="s">
        <v>426</v>
      </c>
      <c r="G76" s="2">
        <v>152327.62402597402</v>
      </c>
      <c r="H76" s="2">
        <v>85919.145833333314</v>
      </c>
      <c r="I76" s="2">
        <f t="shared" si="1"/>
        <v>1.7729182773937304</v>
      </c>
    </row>
    <row r="77" spans="1:9" x14ac:dyDescent="0.35">
      <c r="A77" s="2" t="s">
        <v>428</v>
      </c>
      <c r="B77" s="2" t="s">
        <v>52</v>
      </c>
      <c r="C77" s="2" t="s">
        <v>53</v>
      </c>
      <c r="D77" s="2">
        <v>0.195347756618694</v>
      </c>
      <c r="E77" s="2">
        <v>1.51869666263979E-2</v>
      </c>
      <c r="F77" s="2" t="s">
        <v>426</v>
      </c>
      <c r="G77" s="2">
        <v>105588.67587499999</v>
      </c>
      <c r="H77" s="2">
        <v>45068.776351351349</v>
      </c>
      <c r="I77" s="2">
        <f t="shared" si="1"/>
        <v>2.3428343173074411</v>
      </c>
    </row>
    <row r="78" spans="1:9" x14ac:dyDescent="0.35">
      <c r="A78" s="2" t="s">
        <v>428</v>
      </c>
      <c r="B78" s="2" t="s">
        <v>88</v>
      </c>
      <c r="C78" s="2" t="s">
        <v>89</v>
      </c>
      <c r="D78" s="2">
        <v>0.192314892473824</v>
      </c>
      <c r="E78" s="2">
        <v>1.6514467682802899E-2</v>
      </c>
      <c r="F78" s="2" t="s">
        <v>426</v>
      </c>
      <c r="G78" s="2">
        <v>107009.41199999994</v>
      </c>
      <c r="H78" s="2">
        <v>37764.496799999994</v>
      </c>
      <c r="I78" s="2">
        <f t="shared" si="1"/>
        <v>2.8335982488187148</v>
      </c>
    </row>
    <row r="79" spans="1:9" x14ac:dyDescent="0.35">
      <c r="A79" s="2" t="s">
        <v>428</v>
      </c>
      <c r="B79" s="2" t="s">
        <v>270</v>
      </c>
      <c r="C79" s="2" t="s">
        <v>271</v>
      </c>
      <c r="D79" s="2">
        <v>0.19123850688139499</v>
      </c>
      <c r="E79" s="2">
        <v>1.5746915383854899E-2</v>
      </c>
      <c r="F79" s="2" t="s">
        <v>426</v>
      </c>
      <c r="G79" s="2">
        <v>68816.979999999967</v>
      </c>
      <c r="H79" s="2">
        <v>40572.655696202535</v>
      </c>
      <c r="I79" s="2">
        <f t="shared" si="1"/>
        <v>1.6961418674509148</v>
      </c>
    </row>
    <row r="80" spans="1:9" x14ac:dyDescent="0.35">
      <c r="A80" s="2" t="s">
        <v>428</v>
      </c>
      <c r="B80" s="2" t="s">
        <v>82</v>
      </c>
      <c r="C80" s="2" t="s">
        <v>83</v>
      </c>
      <c r="D80" s="2">
        <v>0.19075530801735899</v>
      </c>
      <c r="E80" s="2">
        <v>1.5683629414874601E-2</v>
      </c>
      <c r="F80" s="2" t="s">
        <v>426</v>
      </c>
      <c r="G80" s="2">
        <v>173541.22162500001</v>
      </c>
      <c r="H80" s="2">
        <v>75199.426250000004</v>
      </c>
      <c r="I80" s="2">
        <f t="shared" si="1"/>
        <v>2.307746618279551</v>
      </c>
    </row>
    <row r="81" spans="1:9" x14ac:dyDescent="0.35">
      <c r="A81" s="2" t="s">
        <v>428</v>
      </c>
      <c r="B81" s="2" t="s">
        <v>366</v>
      </c>
      <c r="C81" s="2" t="s">
        <v>367</v>
      </c>
      <c r="D81" s="2">
        <v>0.19067606388226299</v>
      </c>
      <c r="E81" s="2">
        <v>1.5727732205228301E-2</v>
      </c>
      <c r="F81" s="2" t="s">
        <v>426</v>
      </c>
      <c r="G81" s="2">
        <v>459729.08375000005</v>
      </c>
      <c r="H81" s="2">
        <v>193276.86375000008</v>
      </c>
      <c r="I81" s="2">
        <f t="shared" si="1"/>
        <v>2.3786038061164465</v>
      </c>
    </row>
    <row r="82" spans="1:9" x14ac:dyDescent="0.35">
      <c r="A82" s="2" t="s">
        <v>428</v>
      </c>
      <c r="B82" s="2" t="s">
        <v>322</v>
      </c>
      <c r="C82" s="2" t="s">
        <v>323</v>
      </c>
      <c r="D82" s="2">
        <v>0.190242773470579</v>
      </c>
      <c r="E82" s="2">
        <v>1.70084949690056E-2</v>
      </c>
      <c r="F82" s="2" t="s">
        <v>426</v>
      </c>
      <c r="G82" s="2">
        <v>54497.558481012675</v>
      </c>
      <c r="H82" s="2">
        <v>33526.716410256406</v>
      </c>
      <c r="I82" s="2">
        <f t="shared" si="1"/>
        <v>1.6254964492836801</v>
      </c>
    </row>
    <row r="83" spans="1:9" x14ac:dyDescent="0.35">
      <c r="A83" s="2" t="s">
        <v>428</v>
      </c>
      <c r="B83" s="2" t="s">
        <v>336</v>
      </c>
      <c r="C83" s="2" t="s">
        <v>337</v>
      </c>
      <c r="D83" s="2">
        <v>0.18935305661688001</v>
      </c>
      <c r="E83" s="2">
        <v>2.2545207412943798E-2</v>
      </c>
      <c r="F83" s="2" t="s">
        <v>426</v>
      </c>
      <c r="G83" s="2">
        <v>47487.897534246586</v>
      </c>
      <c r="H83" s="2">
        <v>24578.699444444457</v>
      </c>
      <c r="I83" s="2">
        <f t="shared" si="1"/>
        <v>1.9320752768706935</v>
      </c>
    </row>
    <row r="84" spans="1:9" x14ac:dyDescent="0.35">
      <c r="A84" s="2" t="s">
        <v>428</v>
      </c>
      <c r="B84" s="2" t="s">
        <v>358</v>
      </c>
      <c r="C84" s="2" t="s">
        <v>359</v>
      </c>
      <c r="D84" s="2">
        <v>0.18761892007433301</v>
      </c>
      <c r="E84" s="2">
        <v>2.10622740734898E-2</v>
      </c>
      <c r="F84" s="2" t="s">
        <v>426</v>
      </c>
      <c r="G84" s="2">
        <v>107722.56227848094</v>
      </c>
      <c r="H84" s="2">
        <v>41324.808194444427</v>
      </c>
      <c r="I84" s="2">
        <f t="shared" si="1"/>
        <v>2.6067286694137111</v>
      </c>
    </row>
    <row r="85" spans="1:9" x14ac:dyDescent="0.35">
      <c r="A85" s="2" t="s">
        <v>428</v>
      </c>
      <c r="B85" s="2" t="s">
        <v>186</v>
      </c>
      <c r="C85" s="2" t="s">
        <v>187</v>
      </c>
      <c r="D85" s="2">
        <v>0.187196224759831</v>
      </c>
      <c r="E85" s="2">
        <v>2.3185353563121101E-2</v>
      </c>
      <c r="F85" s="2" t="s">
        <v>426</v>
      </c>
      <c r="G85" s="2">
        <v>24403.138666666666</v>
      </c>
      <c r="H85" s="2">
        <v>12435.842222222222</v>
      </c>
      <c r="I85" s="2">
        <f t="shared" si="1"/>
        <v>1.9623229557431574</v>
      </c>
    </row>
    <row r="86" spans="1:9" x14ac:dyDescent="0.35">
      <c r="A86" s="2" t="s">
        <v>428</v>
      </c>
      <c r="B86" s="2" t="s">
        <v>208</v>
      </c>
      <c r="C86" s="2" t="s">
        <v>209</v>
      </c>
      <c r="D86" s="2">
        <v>0.185137713946186</v>
      </c>
      <c r="E86" s="2">
        <v>1.94749619981575E-2</v>
      </c>
      <c r="F86" s="2" t="s">
        <v>426</v>
      </c>
      <c r="G86" s="2">
        <v>49396.15139240506</v>
      </c>
      <c r="H86" s="2">
        <v>28031.176750000002</v>
      </c>
      <c r="I86" s="2">
        <f t="shared" si="1"/>
        <v>1.7621861484072392</v>
      </c>
    </row>
    <row r="87" spans="1:9" x14ac:dyDescent="0.35">
      <c r="A87" s="2" t="s">
        <v>428</v>
      </c>
      <c r="B87" s="2" t="s">
        <v>192</v>
      </c>
      <c r="C87" s="2" t="s">
        <v>193</v>
      </c>
      <c r="D87" s="2">
        <v>0.184835477628846</v>
      </c>
      <c r="E87" s="2">
        <v>1.92903942040357E-2</v>
      </c>
      <c r="F87" s="2" t="s">
        <v>426</v>
      </c>
      <c r="G87" s="2">
        <v>408604.00125000003</v>
      </c>
      <c r="H87" s="2">
        <v>208779.91750000001</v>
      </c>
      <c r="I87" s="2">
        <f t="shared" si="1"/>
        <v>1.9571039501440555</v>
      </c>
    </row>
    <row r="88" spans="1:9" x14ac:dyDescent="0.35">
      <c r="A88" s="2" t="s">
        <v>428</v>
      </c>
      <c r="B88" s="2" t="s">
        <v>122</v>
      </c>
      <c r="C88" s="2" t="s">
        <v>123</v>
      </c>
      <c r="D88" s="2">
        <v>0.183482457396271</v>
      </c>
      <c r="E88" s="2">
        <v>2.02089856251709E-2</v>
      </c>
      <c r="F88" s="2" t="s">
        <v>426</v>
      </c>
      <c r="G88" s="2">
        <v>236810.76000000007</v>
      </c>
      <c r="H88" s="2">
        <v>96518.23000000001</v>
      </c>
      <c r="I88" s="2">
        <f t="shared" si="1"/>
        <v>2.4535340111396575</v>
      </c>
    </row>
    <row r="89" spans="1:9" x14ac:dyDescent="0.35">
      <c r="A89" s="2" t="s">
        <v>428</v>
      </c>
      <c r="B89" s="2" t="s">
        <v>200</v>
      </c>
      <c r="C89" s="2" t="s">
        <v>201</v>
      </c>
      <c r="D89" s="2">
        <v>0.18243896057706999</v>
      </c>
      <c r="E89" s="2">
        <v>2.64658481563179E-2</v>
      </c>
      <c r="F89" s="2" t="s">
        <v>426</v>
      </c>
      <c r="G89" s="2">
        <v>36392.150684931497</v>
      </c>
      <c r="H89" s="2">
        <v>19914.539466666665</v>
      </c>
      <c r="I89" s="2">
        <f t="shared" si="1"/>
        <v>1.8274161321101787</v>
      </c>
    </row>
    <row r="90" spans="1:9" x14ac:dyDescent="0.35">
      <c r="A90" s="2" t="s">
        <v>428</v>
      </c>
      <c r="B90" s="2" t="s">
        <v>20</v>
      </c>
      <c r="C90" s="2" t="s">
        <v>21</v>
      </c>
      <c r="D90" s="2">
        <v>0.18125557830007</v>
      </c>
      <c r="E90" s="2">
        <v>2.2225875500970799E-2</v>
      </c>
      <c r="F90" s="2" t="s">
        <v>426</v>
      </c>
      <c r="G90" s="2">
        <v>199514.55249999999</v>
      </c>
      <c r="H90" s="2">
        <v>71979.553164556957</v>
      </c>
      <c r="I90" s="2">
        <f t="shared" si="1"/>
        <v>2.7718226041759011</v>
      </c>
    </row>
    <row r="91" spans="1:9" x14ac:dyDescent="0.35">
      <c r="A91" s="2" t="s">
        <v>428</v>
      </c>
      <c r="B91" s="2" t="s">
        <v>272</v>
      </c>
      <c r="C91" s="2" t="s">
        <v>273</v>
      </c>
      <c r="D91" s="2">
        <v>0.18059298143321101</v>
      </c>
      <c r="E91" s="2">
        <v>2.2298015083318402E-2</v>
      </c>
      <c r="F91" s="2" t="s">
        <v>426</v>
      </c>
      <c r="G91" s="2">
        <v>394756.05125000002</v>
      </c>
      <c r="H91" s="2">
        <v>236841.71624999997</v>
      </c>
      <c r="I91" s="2">
        <f t="shared" si="1"/>
        <v>1.6667505095821566</v>
      </c>
    </row>
    <row r="92" spans="1:9" x14ac:dyDescent="0.35">
      <c r="A92" s="2" t="s">
        <v>428</v>
      </c>
      <c r="B92" s="2" t="s">
        <v>30</v>
      </c>
      <c r="C92" s="2" t="s">
        <v>31</v>
      </c>
      <c r="D92" s="2">
        <v>0.18005588229533401</v>
      </c>
      <c r="E92" s="2">
        <v>2.27061686578773E-2</v>
      </c>
      <c r="F92" s="2" t="s">
        <v>426</v>
      </c>
      <c r="G92" s="2">
        <v>2375611.4</v>
      </c>
      <c r="H92" s="2">
        <v>809626.51249999995</v>
      </c>
      <c r="I92" s="2">
        <f t="shared" si="1"/>
        <v>2.9342065301993183</v>
      </c>
    </row>
    <row r="93" spans="1:9" x14ac:dyDescent="0.35">
      <c r="A93" s="2" t="s">
        <v>428</v>
      </c>
      <c r="B93" s="2" t="s">
        <v>116</v>
      </c>
      <c r="C93" s="2" t="s">
        <v>117</v>
      </c>
      <c r="D93" s="2">
        <v>0.180029599446452</v>
      </c>
      <c r="E93" s="2">
        <v>2.2726305538298401E-2</v>
      </c>
      <c r="F93" s="2" t="s">
        <v>426</v>
      </c>
      <c r="G93" s="2">
        <v>1270044.8900000001</v>
      </c>
      <c r="H93" s="2">
        <v>527609.10125000007</v>
      </c>
      <c r="I93" s="2">
        <f t="shared" si="1"/>
        <v>2.4071701700956964</v>
      </c>
    </row>
    <row r="94" spans="1:9" x14ac:dyDescent="0.35">
      <c r="A94" s="2" t="s">
        <v>428</v>
      </c>
      <c r="B94" s="2" t="s">
        <v>34</v>
      </c>
      <c r="C94" s="2" t="s">
        <v>35</v>
      </c>
      <c r="D94" s="2">
        <v>0.179396792058865</v>
      </c>
      <c r="E94" s="2">
        <v>2.4567051532122401E-2</v>
      </c>
      <c r="F94" s="2" t="s">
        <v>426</v>
      </c>
      <c r="G94" s="2">
        <v>309343.38375000004</v>
      </c>
      <c r="H94" s="2">
        <v>100848.72597402595</v>
      </c>
      <c r="I94" s="2">
        <f t="shared" si="1"/>
        <v>3.0674000168298887</v>
      </c>
    </row>
    <row r="95" spans="1:9" x14ac:dyDescent="0.35">
      <c r="A95" s="2" t="s">
        <v>428</v>
      </c>
      <c r="B95" s="2" t="s">
        <v>392</v>
      </c>
      <c r="C95" s="2" t="s">
        <v>393</v>
      </c>
      <c r="D95" s="2">
        <v>0.17686116966375501</v>
      </c>
      <c r="E95" s="2">
        <v>2.5269178505460298E-2</v>
      </c>
      <c r="F95" s="2" t="s">
        <v>426</v>
      </c>
      <c r="G95" s="2">
        <v>512818.72249999997</v>
      </c>
      <c r="H95" s="2">
        <v>216131.57374999998</v>
      </c>
      <c r="I95" s="2">
        <f t="shared" si="1"/>
        <v>2.372715441813138</v>
      </c>
    </row>
    <row r="96" spans="1:9" x14ac:dyDescent="0.35">
      <c r="A96" s="2" t="s">
        <v>428</v>
      </c>
      <c r="B96" s="2" t="s">
        <v>308</v>
      </c>
      <c r="C96" s="2" t="s">
        <v>309</v>
      </c>
      <c r="D96" s="2">
        <v>0.17672175868534401</v>
      </c>
      <c r="E96" s="2">
        <v>2.53864546958118E-2</v>
      </c>
      <c r="F96" s="2" t="s">
        <v>426</v>
      </c>
      <c r="G96" s="2">
        <v>2837771.35</v>
      </c>
      <c r="H96" s="2">
        <v>1750863.375</v>
      </c>
      <c r="I96" s="2">
        <f t="shared" si="1"/>
        <v>1.6207840032064182</v>
      </c>
    </row>
    <row r="97" spans="1:9" x14ac:dyDescent="0.35">
      <c r="A97" s="2" t="s">
        <v>428</v>
      </c>
      <c r="B97" s="2" t="s">
        <v>84</v>
      </c>
      <c r="C97" s="2" t="s">
        <v>85</v>
      </c>
      <c r="D97" s="2">
        <v>0.17627124110247999</v>
      </c>
      <c r="E97" s="2">
        <v>2.5768636888176301E-2</v>
      </c>
      <c r="F97" s="2" t="s">
        <v>426</v>
      </c>
      <c r="G97" s="2">
        <v>37592683.625</v>
      </c>
      <c r="H97" s="2">
        <v>16381194.125</v>
      </c>
      <c r="I97" s="2">
        <f t="shared" si="1"/>
        <v>2.2948683312181921</v>
      </c>
    </row>
    <row r="98" spans="1:9" x14ac:dyDescent="0.35">
      <c r="A98" s="2" t="s">
        <v>428</v>
      </c>
      <c r="B98" s="2" t="s">
        <v>344</v>
      </c>
      <c r="C98" s="2" t="s">
        <v>345</v>
      </c>
      <c r="D98" s="2">
        <v>0.175383065868983</v>
      </c>
      <c r="E98" s="2">
        <v>3.06800281453606E-2</v>
      </c>
      <c r="F98" s="2" t="s">
        <v>426</v>
      </c>
      <c r="G98" s="2">
        <v>75421.019749999963</v>
      </c>
      <c r="H98" s="2">
        <v>27384.33</v>
      </c>
      <c r="I98" s="2">
        <f t="shared" si="1"/>
        <v>2.75416706379159</v>
      </c>
    </row>
    <row r="99" spans="1:9" x14ac:dyDescent="0.35">
      <c r="A99" s="2" t="s">
        <v>428</v>
      </c>
      <c r="B99" s="2" t="s">
        <v>346</v>
      </c>
      <c r="C99" s="2" t="s">
        <v>347</v>
      </c>
      <c r="D99" s="2">
        <v>0.173493587482694</v>
      </c>
      <c r="E99" s="2">
        <v>3.5596681328999E-2</v>
      </c>
      <c r="F99" s="2" t="s">
        <v>426</v>
      </c>
      <c r="G99" s="2">
        <v>138130.13539473695</v>
      </c>
      <c r="H99" s="2">
        <v>57351.175492957736</v>
      </c>
      <c r="I99" s="2">
        <f t="shared" si="1"/>
        <v>2.4084970222048581</v>
      </c>
    </row>
    <row r="100" spans="1:9" x14ac:dyDescent="0.35">
      <c r="A100" s="2" t="s">
        <v>428</v>
      </c>
      <c r="B100" s="2" t="s">
        <v>224</v>
      </c>
      <c r="C100" s="2" t="s">
        <v>225</v>
      </c>
      <c r="D100" s="2">
        <v>0.17254529926895601</v>
      </c>
      <c r="E100" s="2">
        <v>2.9122599709909502E-2</v>
      </c>
      <c r="F100" s="2" t="s">
        <v>426</v>
      </c>
      <c r="G100" s="2">
        <v>154870.32624999998</v>
      </c>
      <c r="H100" s="2">
        <v>80884.061249999999</v>
      </c>
      <c r="I100" s="2">
        <f t="shared" si="1"/>
        <v>1.9147199566465882</v>
      </c>
    </row>
    <row r="101" spans="1:9" x14ac:dyDescent="0.35">
      <c r="A101" s="2" t="s">
        <v>428</v>
      </c>
      <c r="B101" s="2" t="s">
        <v>184</v>
      </c>
      <c r="C101" s="2" t="s">
        <v>185</v>
      </c>
      <c r="D101" s="2">
        <v>0.17230722765744999</v>
      </c>
      <c r="E101" s="2">
        <v>3.0396162464200498E-2</v>
      </c>
      <c r="F101" s="2" t="s">
        <v>426</v>
      </c>
      <c r="G101" s="2">
        <v>176848.21874999994</v>
      </c>
      <c r="H101" s="2">
        <v>88864.61884615387</v>
      </c>
      <c r="I101" s="2">
        <f t="shared" si="1"/>
        <v>1.9900858299540669</v>
      </c>
    </row>
    <row r="102" spans="1:9" x14ac:dyDescent="0.35">
      <c r="A102" s="2" t="s">
        <v>428</v>
      </c>
      <c r="B102" s="2" t="s">
        <v>100</v>
      </c>
      <c r="C102" s="2" t="s">
        <v>101</v>
      </c>
      <c r="D102" s="2">
        <v>0.17176313030587301</v>
      </c>
      <c r="E102" s="2">
        <v>2.9872072475730899E-2</v>
      </c>
      <c r="F102" s="2" t="s">
        <v>426</v>
      </c>
      <c r="G102" s="2">
        <v>23827755.5</v>
      </c>
      <c r="H102" s="2">
        <v>9841037.1750000007</v>
      </c>
      <c r="I102" s="2">
        <f t="shared" si="1"/>
        <v>2.4212646569948557</v>
      </c>
    </row>
    <row r="103" spans="1:9" x14ac:dyDescent="0.35">
      <c r="A103" s="2" t="s">
        <v>428</v>
      </c>
      <c r="B103" s="2" t="s">
        <v>258</v>
      </c>
      <c r="C103" s="2" t="s">
        <v>259</v>
      </c>
      <c r="D103" s="2">
        <v>0.17112624225713399</v>
      </c>
      <c r="E103" s="2">
        <v>3.0494409672105802E-2</v>
      </c>
      <c r="F103" s="2" t="s">
        <v>426</v>
      </c>
      <c r="G103" s="2">
        <v>197606.88250000001</v>
      </c>
      <c r="H103" s="2">
        <v>125481.73125000003</v>
      </c>
      <c r="I103" s="2">
        <f t="shared" si="1"/>
        <v>1.574786070701427</v>
      </c>
    </row>
    <row r="104" spans="1:9" x14ac:dyDescent="0.35">
      <c r="A104" s="2" t="s">
        <v>428</v>
      </c>
      <c r="B104" s="2" t="s">
        <v>254</v>
      </c>
      <c r="C104" s="2" t="s">
        <v>255</v>
      </c>
      <c r="D104" s="2">
        <v>0.17073442403360101</v>
      </c>
      <c r="E104" s="2">
        <v>3.08827300006006E-2</v>
      </c>
      <c r="F104" s="2" t="s">
        <v>426</v>
      </c>
      <c r="G104" s="2">
        <v>148307.776625</v>
      </c>
      <c r="H104" s="2">
        <v>87668.86374999999</v>
      </c>
      <c r="I104" s="2">
        <f t="shared" si="1"/>
        <v>1.691681291181329</v>
      </c>
    </row>
    <row r="105" spans="1:9" x14ac:dyDescent="0.35">
      <c r="A105" s="2" t="s">
        <v>428</v>
      </c>
      <c r="B105" s="2" t="s">
        <v>266</v>
      </c>
      <c r="C105" s="2" t="s">
        <v>267</v>
      </c>
      <c r="D105" s="2">
        <v>0.16907776924704401</v>
      </c>
      <c r="E105" s="2">
        <v>4.2779155535903599E-2</v>
      </c>
      <c r="F105" s="2" t="s">
        <v>426</v>
      </c>
      <c r="G105" s="2">
        <v>32773.539166666676</v>
      </c>
      <c r="H105" s="2">
        <v>20088.777638888881</v>
      </c>
      <c r="I105" s="2">
        <f t="shared" si="1"/>
        <v>1.6314352100359748</v>
      </c>
    </row>
    <row r="106" spans="1:9" x14ac:dyDescent="0.35">
      <c r="A106" s="2" t="s">
        <v>428</v>
      </c>
      <c r="B106" s="2" t="s">
        <v>238</v>
      </c>
      <c r="C106" s="2" t="s">
        <v>239</v>
      </c>
      <c r="D106" s="2">
        <v>0.16897637822164299</v>
      </c>
      <c r="E106" s="2">
        <v>3.2677242001991798E-2</v>
      </c>
      <c r="F106" s="2" t="s">
        <v>426</v>
      </c>
      <c r="G106" s="2">
        <v>954625.06749999989</v>
      </c>
      <c r="H106" s="2">
        <v>496063.88249999995</v>
      </c>
      <c r="I106" s="2">
        <f t="shared" si="1"/>
        <v>1.9243994597812712</v>
      </c>
    </row>
    <row r="107" spans="1:9" x14ac:dyDescent="0.35">
      <c r="A107" s="2" t="s">
        <v>428</v>
      </c>
      <c r="B107" s="2" t="s">
        <v>384</v>
      </c>
      <c r="C107" s="2" t="s">
        <v>385</v>
      </c>
      <c r="D107" s="2">
        <v>0.16887345488939301</v>
      </c>
      <c r="E107" s="2">
        <v>3.5680515130164403E-2</v>
      </c>
      <c r="F107" s="2" t="s">
        <v>426</v>
      </c>
      <c r="G107" s="2">
        <v>127957.69487179487</v>
      </c>
      <c r="H107" s="2">
        <v>82402.893376623324</v>
      </c>
      <c r="I107" s="2">
        <f t="shared" si="1"/>
        <v>1.5528301207454309</v>
      </c>
    </row>
    <row r="108" spans="1:9" x14ac:dyDescent="0.35">
      <c r="A108" s="2" t="s">
        <v>428</v>
      </c>
      <c r="B108" s="2" t="s">
        <v>156</v>
      </c>
      <c r="C108" s="2" t="s">
        <v>157</v>
      </c>
      <c r="D108" s="2">
        <v>0.16868337777938</v>
      </c>
      <c r="E108" s="2">
        <v>3.35458297752836E-2</v>
      </c>
      <c r="F108" s="2" t="s">
        <v>426</v>
      </c>
      <c r="G108" s="2">
        <v>294647.39012500003</v>
      </c>
      <c r="H108" s="2">
        <v>136447.58835443039</v>
      </c>
      <c r="I108" s="2">
        <f t="shared" si="1"/>
        <v>2.1594180863031207</v>
      </c>
    </row>
    <row r="109" spans="1:9" x14ac:dyDescent="0.35">
      <c r="A109" s="2" t="s">
        <v>428</v>
      </c>
      <c r="B109" s="2" t="s">
        <v>338</v>
      </c>
      <c r="C109" s="2" t="s">
        <v>339</v>
      </c>
      <c r="D109" s="2">
        <v>0.16766300771705001</v>
      </c>
      <c r="E109" s="2">
        <v>3.83067771708136E-2</v>
      </c>
      <c r="F109" s="2" t="s">
        <v>426</v>
      </c>
      <c r="G109" s="2">
        <v>143165.85844155852</v>
      </c>
      <c r="H109" s="2">
        <v>77914.969736842075</v>
      </c>
      <c r="I109" s="2">
        <f t="shared" si="1"/>
        <v>1.8374627998329642</v>
      </c>
    </row>
    <row r="110" spans="1:9" x14ac:dyDescent="0.35">
      <c r="A110" s="2" t="s">
        <v>428</v>
      </c>
      <c r="B110" s="2" t="s">
        <v>380</v>
      </c>
      <c r="C110" s="2" t="s">
        <v>381</v>
      </c>
      <c r="D110" s="2">
        <v>0.162887569354215</v>
      </c>
      <c r="E110" s="2">
        <v>4.02231818918041E-2</v>
      </c>
      <c r="F110" s="2" t="s">
        <v>426</v>
      </c>
      <c r="G110" s="2">
        <v>1798458.4556962026</v>
      </c>
      <c r="H110" s="2">
        <v>1047512.5375</v>
      </c>
      <c r="I110" s="2">
        <f t="shared" si="1"/>
        <v>1.7168848976150823</v>
      </c>
    </row>
    <row r="111" spans="1:9" x14ac:dyDescent="0.35">
      <c r="A111" s="2" t="s">
        <v>428</v>
      </c>
      <c r="B111" s="2" t="s">
        <v>78</v>
      </c>
      <c r="C111" s="2" t="s">
        <v>79</v>
      </c>
      <c r="D111" s="2">
        <v>0.16253327544460999</v>
      </c>
      <c r="E111" s="2">
        <v>4.4717071327574E-2</v>
      </c>
      <c r="F111" s="2" t="s">
        <v>426</v>
      </c>
      <c r="G111" s="2">
        <v>42162.728421052634</v>
      </c>
      <c r="H111" s="2">
        <v>19718.512857142858</v>
      </c>
      <c r="I111" s="2">
        <f t="shared" si="1"/>
        <v>2.1382306427728173</v>
      </c>
    </row>
    <row r="112" spans="1:9" x14ac:dyDescent="0.35">
      <c r="A112" s="2" t="s">
        <v>428</v>
      </c>
      <c r="B112" s="2" t="s">
        <v>92</v>
      </c>
      <c r="C112" s="2" t="s">
        <v>93</v>
      </c>
      <c r="D112" s="2">
        <v>0.162296359034656</v>
      </c>
      <c r="E112" s="2">
        <v>4.0963106875742401E-2</v>
      </c>
      <c r="F112" s="2" t="s">
        <v>426</v>
      </c>
      <c r="G112" s="2">
        <v>100218.57124999999</v>
      </c>
      <c r="H112" s="2">
        <v>40952.439240506319</v>
      </c>
      <c r="I112" s="2">
        <f t="shared" si="1"/>
        <v>2.4471941869307057</v>
      </c>
    </row>
    <row r="113" spans="1:9" x14ac:dyDescent="0.35">
      <c r="A113" s="2" t="s">
        <v>428</v>
      </c>
      <c r="B113" s="2" t="s">
        <v>282</v>
      </c>
      <c r="C113" s="2" t="s">
        <v>283</v>
      </c>
      <c r="D113" s="2">
        <v>0.162217146994699</v>
      </c>
      <c r="E113" s="2">
        <v>4.0422181980648703E-2</v>
      </c>
      <c r="F113" s="2" t="s">
        <v>426</v>
      </c>
      <c r="G113" s="2">
        <v>3556384.6</v>
      </c>
      <c r="H113" s="2">
        <v>2210323.8125</v>
      </c>
      <c r="I113" s="2">
        <f t="shared" si="1"/>
        <v>1.6089880495733926</v>
      </c>
    </row>
    <row r="114" spans="1:9" x14ac:dyDescent="0.35">
      <c r="A114" s="2" t="s">
        <v>428</v>
      </c>
      <c r="B114" s="2" t="s">
        <v>90</v>
      </c>
      <c r="C114" s="2" t="s">
        <v>91</v>
      </c>
      <c r="D114" s="2">
        <v>0.16155971417019399</v>
      </c>
      <c r="E114" s="2">
        <v>4.1251660751419797E-2</v>
      </c>
      <c r="F114" s="2" t="s">
        <v>426</v>
      </c>
      <c r="G114" s="2">
        <v>472468.64750000014</v>
      </c>
      <c r="H114" s="2">
        <v>227370.85750000007</v>
      </c>
      <c r="I114" s="2">
        <f t="shared" si="1"/>
        <v>2.0779648398871875</v>
      </c>
    </row>
    <row r="115" spans="1:9" x14ac:dyDescent="0.35">
      <c r="A115" s="2" t="s">
        <v>428</v>
      </c>
      <c r="B115" s="2" t="s">
        <v>290</v>
      </c>
      <c r="C115" s="2" t="s">
        <v>291</v>
      </c>
      <c r="D115" s="2">
        <v>0.16109170688747901</v>
      </c>
      <c r="E115" s="2">
        <v>4.3172324542198298E-2</v>
      </c>
      <c r="F115" s="2" t="s">
        <v>426</v>
      </c>
      <c r="G115" s="2">
        <v>45278.289750000011</v>
      </c>
      <c r="H115" s="2">
        <v>27837.068974358972</v>
      </c>
      <c r="I115" s="2">
        <f t="shared" si="1"/>
        <v>1.6265465948195315</v>
      </c>
    </row>
    <row r="116" spans="1:9" x14ac:dyDescent="0.35">
      <c r="A116" s="2" t="s">
        <v>428</v>
      </c>
      <c r="B116" s="2" t="s">
        <v>74</v>
      </c>
      <c r="C116" s="2" t="s">
        <v>75</v>
      </c>
      <c r="D116" s="2">
        <v>0.160726384802755</v>
      </c>
      <c r="E116" s="2">
        <v>4.5029643873416902E-2</v>
      </c>
      <c r="F116" s="2" t="s">
        <v>426</v>
      </c>
      <c r="G116" s="2">
        <v>114780.72924999997</v>
      </c>
      <c r="H116" s="2">
        <v>57131.913026315822</v>
      </c>
      <c r="I116" s="2">
        <f t="shared" si="1"/>
        <v>2.0090475387570206</v>
      </c>
    </row>
    <row r="117" spans="1:9" x14ac:dyDescent="0.35">
      <c r="A117" s="2" t="s">
        <v>428</v>
      </c>
      <c r="B117" s="2" t="s">
        <v>104</v>
      </c>
      <c r="C117" s="3" t="s">
        <v>105</v>
      </c>
      <c r="D117" s="3">
        <v>0.14878291217532799</v>
      </c>
      <c r="E117" s="3">
        <v>0.129831771128738</v>
      </c>
      <c r="F117" s="3" t="s">
        <v>427</v>
      </c>
      <c r="G117" s="2">
        <v>35654.813278688533</v>
      </c>
      <c r="H117" s="2">
        <v>16929.00977272727</v>
      </c>
      <c r="I117" s="2">
        <f t="shared" si="1"/>
        <v>2.1061369659156699</v>
      </c>
    </row>
    <row r="118" spans="1:9" x14ac:dyDescent="0.35">
      <c r="A118" s="2" t="s">
        <v>428</v>
      </c>
      <c r="B118" s="2" t="s">
        <v>402</v>
      </c>
      <c r="C118" s="3" t="s">
        <v>403</v>
      </c>
      <c r="D118" s="3">
        <v>-7.06760037444506E-2</v>
      </c>
      <c r="E118" s="3">
        <v>0.50082060370815995</v>
      </c>
      <c r="F118" s="3" t="s">
        <v>427</v>
      </c>
      <c r="G118" s="2">
        <v>13538.124509803924</v>
      </c>
      <c r="H118" s="2">
        <v>6544.6604761904764</v>
      </c>
      <c r="I118" s="2">
        <f t="shared" si="1"/>
        <v>2.0685755294802108</v>
      </c>
    </row>
    <row r="119" spans="1:9" x14ac:dyDescent="0.35">
      <c r="A119" s="2" t="s">
        <v>428</v>
      </c>
      <c r="B119" s="2" t="s">
        <v>368</v>
      </c>
      <c r="C119" s="3" t="s">
        <v>369</v>
      </c>
      <c r="D119" s="3">
        <v>0.114116508779845</v>
      </c>
      <c r="E119" s="3">
        <v>0.173224189193774</v>
      </c>
      <c r="F119" s="3" t="s">
        <v>427</v>
      </c>
      <c r="G119" s="2">
        <v>38721.311066666683</v>
      </c>
      <c r="H119" s="2">
        <v>21054.877681159425</v>
      </c>
      <c r="I119" s="2">
        <f t="shared" si="1"/>
        <v>1.8390660659746194</v>
      </c>
    </row>
    <row r="120" spans="1:9" x14ac:dyDescent="0.35">
      <c r="A120" s="2" t="s">
        <v>428</v>
      </c>
      <c r="B120" s="2" t="s">
        <v>242</v>
      </c>
      <c r="C120" s="3" t="s">
        <v>243</v>
      </c>
      <c r="D120" s="3">
        <v>0.16440164648948599</v>
      </c>
      <c r="E120" s="3">
        <v>6.0598011617148798E-2</v>
      </c>
      <c r="F120" s="3" t="s">
        <v>427</v>
      </c>
      <c r="G120" s="2">
        <v>22693.176769230769</v>
      </c>
      <c r="H120" s="2">
        <v>12286.827878787881</v>
      </c>
      <c r="I120" s="2">
        <f t="shared" si="1"/>
        <v>1.8469516292653962</v>
      </c>
    </row>
    <row r="121" spans="1:9" x14ac:dyDescent="0.35">
      <c r="A121" s="2" t="s">
        <v>428</v>
      </c>
      <c r="B121" s="2" t="s">
        <v>76</v>
      </c>
      <c r="C121" s="3" t="s">
        <v>77</v>
      </c>
      <c r="D121" s="3">
        <v>0.10751066501298</v>
      </c>
      <c r="E121" s="3">
        <v>0.27266382439146503</v>
      </c>
      <c r="F121" s="3" t="s">
        <v>427</v>
      </c>
      <c r="G121" s="2">
        <v>2946454.9440677962</v>
      </c>
      <c r="H121" s="2">
        <v>1148186.0851063831</v>
      </c>
      <c r="I121" s="2">
        <f t="shared" si="1"/>
        <v>2.5661824178916066</v>
      </c>
    </row>
    <row r="122" spans="1:9" x14ac:dyDescent="0.35">
      <c r="A122" s="2" t="s">
        <v>428</v>
      </c>
      <c r="B122" s="2" t="s">
        <v>132</v>
      </c>
      <c r="C122" s="3" t="s">
        <v>133</v>
      </c>
      <c r="D122" s="3">
        <v>0.124053999246358</v>
      </c>
      <c r="E122" s="3">
        <v>0.13304684768429001</v>
      </c>
      <c r="F122" s="3" t="s">
        <v>427</v>
      </c>
      <c r="G122" s="2">
        <v>62626.500405405386</v>
      </c>
      <c r="H122" s="2">
        <v>31320.58202702702</v>
      </c>
      <c r="I122" s="2">
        <f t="shared" si="1"/>
        <v>1.9995318206846859</v>
      </c>
    </row>
    <row r="123" spans="1:9" x14ac:dyDescent="0.35">
      <c r="A123" s="2" t="s">
        <v>428</v>
      </c>
      <c r="B123" s="2" t="s">
        <v>304</v>
      </c>
      <c r="C123" s="3" t="s">
        <v>305</v>
      </c>
      <c r="D123" s="3">
        <v>0.15507522253140801</v>
      </c>
      <c r="E123" s="3">
        <v>6.9346718097808499E-2</v>
      </c>
      <c r="F123" s="3" t="s">
        <v>427</v>
      </c>
      <c r="G123" s="2">
        <v>19701.836811594203</v>
      </c>
      <c r="H123" s="2">
        <v>12776.771304347822</v>
      </c>
      <c r="I123" s="2">
        <f t="shared" si="1"/>
        <v>1.542004340712418</v>
      </c>
    </row>
    <row r="124" spans="1:9" x14ac:dyDescent="0.35">
      <c r="A124" s="2" t="s">
        <v>428</v>
      </c>
      <c r="B124" s="2" t="s">
        <v>302</v>
      </c>
      <c r="C124" s="3" t="s">
        <v>303</v>
      </c>
      <c r="D124" s="3">
        <v>3.60428741131055E-2</v>
      </c>
      <c r="E124" s="3">
        <v>0.65092127633295105</v>
      </c>
      <c r="F124" s="3" t="s">
        <v>427</v>
      </c>
      <c r="G124" s="2">
        <v>2661394.0499999998</v>
      </c>
      <c r="H124" s="2">
        <v>1721698.1625000001</v>
      </c>
      <c r="I124" s="2">
        <f t="shared" si="1"/>
        <v>1.5457959519080335</v>
      </c>
    </row>
    <row r="125" spans="1:9" x14ac:dyDescent="0.35">
      <c r="A125" s="2" t="s">
        <v>428</v>
      </c>
      <c r="B125" s="2" t="s">
        <v>288</v>
      </c>
      <c r="C125" s="3" t="s">
        <v>289</v>
      </c>
      <c r="D125" s="3">
        <v>7.5047130904450903E-3</v>
      </c>
      <c r="E125" s="3">
        <v>0.92496222711075304</v>
      </c>
      <c r="F125" s="3" t="s">
        <v>427</v>
      </c>
      <c r="G125" s="2">
        <v>27693824</v>
      </c>
      <c r="H125" s="2">
        <v>16218598.875</v>
      </c>
      <c r="I125" s="2">
        <f t="shared" si="1"/>
        <v>1.7075349241597173</v>
      </c>
    </row>
    <row r="126" spans="1:9" x14ac:dyDescent="0.35">
      <c r="A126" s="2" t="s">
        <v>428</v>
      </c>
      <c r="B126" s="2" t="s">
        <v>310</v>
      </c>
      <c r="C126" s="3" t="s">
        <v>311</v>
      </c>
      <c r="D126" s="3">
        <v>5.37505357962609E-2</v>
      </c>
      <c r="E126" s="3">
        <v>0.55818321173423302</v>
      </c>
      <c r="F126" s="3" t="s">
        <v>427</v>
      </c>
      <c r="G126" s="2">
        <v>16665.705333333339</v>
      </c>
      <c r="H126" s="2">
        <v>10254.544918032785</v>
      </c>
      <c r="I126" s="2">
        <f t="shared" si="1"/>
        <v>1.6252018462590596</v>
      </c>
    </row>
    <row r="127" spans="1:9" x14ac:dyDescent="0.35">
      <c r="A127" s="2" t="s">
        <v>428</v>
      </c>
      <c r="B127" s="2" t="s">
        <v>390</v>
      </c>
      <c r="C127" s="3" t="s">
        <v>391</v>
      </c>
      <c r="D127" s="3">
        <v>0.181081336638867</v>
      </c>
      <c r="E127" s="3">
        <v>5.95165060492647E-2</v>
      </c>
      <c r="F127" s="3" t="s">
        <v>427</v>
      </c>
      <c r="G127" s="2">
        <v>21425.624074074083</v>
      </c>
      <c r="H127" s="2">
        <v>11764.276545454544</v>
      </c>
      <c r="I127" s="2">
        <f t="shared" si="1"/>
        <v>1.8212445101311792</v>
      </c>
    </row>
    <row r="128" spans="1:9" x14ac:dyDescent="0.35">
      <c r="A128" s="2" t="s">
        <v>428</v>
      </c>
      <c r="B128" s="2" t="s">
        <v>118</v>
      </c>
      <c r="C128" s="3" t="s">
        <v>119</v>
      </c>
      <c r="D128" s="3">
        <v>9.4470331117463405E-2</v>
      </c>
      <c r="E128" s="3">
        <v>0.242305867583549</v>
      </c>
      <c r="F128" s="3" t="s">
        <v>427</v>
      </c>
      <c r="G128" s="2">
        <v>54093.516883116899</v>
      </c>
      <c r="H128" s="2">
        <v>22888.221794871799</v>
      </c>
      <c r="I128" s="2">
        <f t="shared" si="1"/>
        <v>2.3633778704135406</v>
      </c>
    </row>
    <row r="129" spans="1:9" x14ac:dyDescent="0.35">
      <c r="A129" s="2" t="s">
        <v>428</v>
      </c>
      <c r="B129" s="2" t="s">
        <v>124</v>
      </c>
      <c r="C129" s="3" t="s">
        <v>125</v>
      </c>
      <c r="D129" s="3">
        <v>0.119726564947926</v>
      </c>
      <c r="E129" s="3">
        <v>0.148621918977765</v>
      </c>
      <c r="F129" s="3" t="s">
        <v>427</v>
      </c>
      <c r="G129" s="2">
        <v>76268.139240506323</v>
      </c>
      <c r="H129" s="2">
        <v>32971.946764705877</v>
      </c>
      <c r="I129" s="2">
        <f t="shared" si="1"/>
        <v>2.3131221151353412</v>
      </c>
    </row>
    <row r="130" spans="1:9" x14ac:dyDescent="0.35">
      <c r="A130" s="2" t="s">
        <v>428</v>
      </c>
      <c r="B130" s="2" t="s">
        <v>352</v>
      </c>
      <c r="C130" s="3" t="s">
        <v>353</v>
      </c>
      <c r="D130" s="3">
        <v>0.114267576507077</v>
      </c>
      <c r="E130" s="3">
        <v>0.15959593762879501</v>
      </c>
      <c r="F130" s="3" t="s">
        <v>427</v>
      </c>
      <c r="G130" s="2">
        <v>42056.654358974345</v>
      </c>
      <c r="H130" s="2">
        <v>26071.665599999997</v>
      </c>
      <c r="I130" s="2">
        <f t="shared" si="1"/>
        <v>1.6131172823486333</v>
      </c>
    </row>
    <row r="131" spans="1:9" x14ac:dyDescent="0.35">
      <c r="A131" s="2" t="s">
        <v>428</v>
      </c>
      <c r="B131" s="2" t="s">
        <v>14</v>
      </c>
      <c r="C131" s="3" t="s">
        <v>15</v>
      </c>
      <c r="D131" s="3">
        <v>0.13022719275132699</v>
      </c>
      <c r="E131" s="3">
        <v>0.112200408979425</v>
      </c>
      <c r="F131" s="3" t="s">
        <v>427</v>
      </c>
      <c r="G131" s="2">
        <v>107707.25256410251</v>
      </c>
      <c r="H131" s="2">
        <v>37958.423055555562</v>
      </c>
      <c r="I131" s="2">
        <f t="shared" si="1"/>
        <v>2.837505984020023</v>
      </c>
    </row>
    <row r="132" spans="1:9" x14ac:dyDescent="0.35">
      <c r="A132" s="2" t="s">
        <v>428</v>
      </c>
      <c r="B132" s="2" t="s">
        <v>396</v>
      </c>
      <c r="C132" s="3" t="s">
        <v>397</v>
      </c>
      <c r="D132" s="3">
        <v>0.15953542842555499</v>
      </c>
      <c r="E132" s="3">
        <v>5.7010429713213899E-2</v>
      </c>
      <c r="F132" s="3" t="s">
        <v>427</v>
      </c>
      <c r="G132" s="2">
        <v>33644.667837837827</v>
      </c>
      <c r="H132" s="2">
        <v>18723.737536231889</v>
      </c>
      <c r="I132" s="2">
        <f t="shared" ref="I132:I195" si="2">G132/H132</f>
        <v>1.796899137938287</v>
      </c>
    </row>
    <row r="133" spans="1:9" x14ac:dyDescent="0.35">
      <c r="A133" s="2" t="s">
        <v>428</v>
      </c>
      <c r="B133" s="2" t="s">
        <v>222</v>
      </c>
      <c r="C133" s="3" t="s">
        <v>223</v>
      </c>
      <c r="D133" s="3">
        <v>6.3063656697064305E-2</v>
      </c>
      <c r="E133" s="3">
        <v>0.42822446849227802</v>
      </c>
      <c r="F133" s="3" t="s">
        <v>427</v>
      </c>
      <c r="G133" s="2">
        <v>398284.7475</v>
      </c>
      <c r="H133" s="2">
        <v>228181.31749999998</v>
      </c>
      <c r="I133" s="2">
        <f t="shared" si="2"/>
        <v>1.7454748349412963</v>
      </c>
    </row>
    <row r="134" spans="1:9" x14ac:dyDescent="0.35">
      <c r="A134" s="2" t="s">
        <v>428</v>
      </c>
      <c r="B134" s="2" t="s">
        <v>154</v>
      </c>
      <c r="C134" s="3" t="s">
        <v>155</v>
      </c>
      <c r="D134" s="3">
        <v>6.0251573864459097E-2</v>
      </c>
      <c r="E134" s="3">
        <v>0.47629026153871601</v>
      </c>
      <c r="F134" s="3" t="s">
        <v>427</v>
      </c>
      <c r="G134" s="2">
        <v>30094.684558823534</v>
      </c>
      <c r="H134" s="2">
        <v>13480.099729729731</v>
      </c>
      <c r="I134" s="2">
        <f t="shared" si="2"/>
        <v>2.2325268478875651</v>
      </c>
    </row>
    <row r="135" spans="1:9" x14ac:dyDescent="0.35">
      <c r="A135" s="2" t="s">
        <v>428</v>
      </c>
      <c r="B135" s="2" t="s">
        <v>136</v>
      </c>
      <c r="C135" s="3" t="s">
        <v>137</v>
      </c>
      <c r="D135" s="3">
        <v>1.44870018828459E-2</v>
      </c>
      <c r="E135" s="3">
        <v>0.85572364763839404</v>
      </c>
      <c r="F135" s="3" t="s">
        <v>427</v>
      </c>
      <c r="G135" s="2">
        <v>310795.14124999999</v>
      </c>
      <c r="H135" s="2">
        <v>153345.58874999994</v>
      </c>
      <c r="I135" s="2">
        <f t="shared" si="2"/>
        <v>2.0267628419144867</v>
      </c>
    </row>
    <row r="136" spans="1:9" x14ac:dyDescent="0.35">
      <c r="A136" s="2" t="s">
        <v>428</v>
      </c>
      <c r="B136" s="2" t="s">
        <v>316</v>
      </c>
      <c r="C136" s="3" t="s">
        <v>317</v>
      </c>
      <c r="D136" s="3">
        <v>8.85853918392666E-2</v>
      </c>
      <c r="E136" s="3">
        <v>0.285984900118114</v>
      </c>
      <c r="F136" s="3" t="s">
        <v>427</v>
      </c>
      <c r="G136" s="2">
        <v>79596.288701298705</v>
      </c>
      <c r="H136" s="2">
        <v>51004.504285714291</v>
      </c>
      <c r="I136" s="2">
        <f t="shared" si="2"/>
        <v>1.560573714341394</v>
      </c>
    </row>
    <row r="137" spans="1:9" x14ac:dyDescent="0.35">
      <c r="A137" s="2" t="s">
        <v>428</v>
      </c>
      <c r="B137" s="2" t="s">
        <v>144</v>
      </c>
      <c r="C137" s="3" t="s">
        <v>145</v>
      </c>
      <c r="D137" s="3">
        <v>0.179674370672919</v>
      </c>
      <c r="E137" s="3">
        <v>5.36153027011564E-2</v>
      </c>
      <c r="F137" s="3" t="s">
        <v>427</v>
      </c>
      <c r="G137" s="2">
        <v>54155.851940298518</v>
      </c>
      <c r="H137" s="2">
        <v>26978.578979591843</v>
      </c>
      <c r="I137" s="2">
        <f t="shared" si="2"/>
        <v>2.0073648794202668</v>
      </c>
    </row>
    <row r="138" spans="1:9" x14ac:dyDescent="0.35">
      <c r="A138" s="2" t="s">
        <v>428</v>
      </c>
      <c r="B138" s="2" t="s">
        <v>194</v>
      </c>
      <c r="C138" s="3" t="s">
        <v>195</v>
      </c>
      <c r="D138" s="3">
        <v>0.145556502744799</v>
      </c>
      <c r="E138" s="3">
        <v>6.9824547592118799E-2</v>
      </c>
      <c r="F138" s="3" t="s">
        <v>427</v>
      </c>
      <c r="G138" s="2">
        <v>83087.956125000026</v>
      </c>
      <c r="H138" s="2">
        <v>45872.499078947396</v>
      </c>
      <c r="I138" s="2">
        <f t="shared" si="2"/>
        <v>1.811280348646455</v>
      </c>
    </row>
    <row r="139" spans="1:9" x14ac:dyDescent="0.35">
      <c r="A139" s="2" t="s">
        <v>428</v>
      </c>
      <c r="B139" s="2" t="s">
        <v>176</v>
      </c>
      <c r="C139" s="3" t="s">
        <v>177</v>
      </c>
      <c r="D139" s="3">
        <v>0.11376354187237001</v>
      </c>
      <c r="E139" s="3">
        <v>0.20465941955533901</v>
      </c>
      <c r="F139" s="3" t="s">
        <v>427</v>
      </c>
      <c r="G139" s="2">
        <v>20429.426440677966</v>
      </c>
      <c r="H139" s="2">
        <v>10835.907313432839</v>
      </c>
      <c r="I139" s="2">
        <f t="shared" si="2"/>
        <v>1.8853452553393868</v>
      </c>
    </row>
    <row r="140" spans="1:9" x14ac:dyDescent="0.35">
      <c r="A140" s="2" t="s">
        <v>428</v>
      </c>
      <c r="B140" s="2" t="s">
        <v>94</v>
      </c>
      <c r="C140" s="3" t="s">
        <v>95</v>
      </c>
      <c r="D140" s="3">
        <v>1.10031949065618E-2</v>
      </c>
      <c r="E140" s="3">
        <v>0.890166498970419</v>
      </c>
      <c r="F140" s="3" t="s">
        <v>427</v>
      </c>
      <c r="G140" s="2">
        <v>12318444.75</v>
      </c>
      <c r="H140" s="2">
        <v>5826916.4375</v>
      </c>
      <c r="I140" s="2">
        <f t="shared" si="2"/>
        <v>2.114058933593554</v>
      </c>
    </row>
    <row r="141" spans="1:9" x14ac:dyDescent="0.35">
      <c r="A141" s="2" t="s">
        <v>428</v>
      </c>
      <c r="B141" s="2" t="s">
        <v>80</v>
      </c>
      <c r="C141" s="3" t="s">
        <v>81</v>
      </c>
      <c r="D141" s="3">
        <v>0.111330502743668</v>
      </c>
      <c r="E141" s="3">
        <v>0.209089654811841</v>
      </c>
      <c r="F141" s="3" t="s">
        <v>427</v>
      </c>
      <c r="G141" s="2">
        <v>27058.798142857133</v>
      </c>
      <c r="H141" s="2">
        <v>12197.678474576272</v>
      </c>
      <c r="I141" s="2">
        <f t="shared" si="2"/>
        <v>2.2183564027577889</v>
      </c>
    </row>
    <row r="142" spans="1:9" x14ac:dyDescent="0.35">
      <c r="A142" s="2" t="s">
        <v>428</v>
      </c>
      <c r="B142" s="2" t="s">
        <v>210</v>
      </c>
      <c r="C142" s="3" t="s">
        <v>211</v>
      </c>
      <c r="D142" s="3">
        <v>2.31175774211234E-2</v>
      </c>
      <c r="E142" s="3">
        <v>0.77310589520715101</v>
      </c>
      <c r="F142" s="3" t="s">
        <v>427</v>
      </c>
      <c r="G142" s="2">
        <v>92719.721794871773</v>
      </c>
      <c r="H142" s="2">
        <v>51265.289000000012</v>
      </c>
      <c r="I142" s="2">
        <f t="shared" si="2"/>
        <v>1.8086257505516403</v>
      </c>
    </row>
    <row r="143" spans="1:9" x14ac:dyDescent="0.35">
      <c r="A143" s="2" t="s">
        <v>428</v>
      </c>
      <c r="B143" s="2" t="s">
        <v>142</v>
      </c>
      <c r="C143" s="3" t="s">
        <v>143</v>
      </c>
      <c r="D143" s="3">
        <v>0.15313216873780999</v>
      </c>
      <c r="E143" s="3">
        <v>9.3567012648188799E-2</v>
      </c>
      <c r="F143" s="3" t="s">
        <v>427</v>
      </c>
      <c r="G143" s="2">
        <v>38429.86129032258</v>
      </c>
      <c r="H143" s="2">
        <v>18919.552203389831</v>
      </c>
      <c r="I143" s="2">
        <f t="shared" si="2"/>
        <v>2.0312246757847192</v>
      </c>
    </row>
    <row r="144" spans="1:9" x14ac:dyDescent="0.35">
      <c r="A144" s="2" t="s">
        <v>428</v>
      </c>
      <c r="B144" s="2" t="s">
        <v>408</v>
      </c>
      <c r="C144" s="3" t="s">
        <v>409</v>
      </c>
      <c r="D144" s="3">
        <v>8.6687935572471203E-2</v>
      </c>
      <c r="E144" s="3">
        <v>0.37009082132743099</v>
      </c>
      <c r="F144" s="3" t="s">
        <v>427</v>
      </c>
      <c r="G144" s="2">
        <v>26747.00133333333</v>
      </c>
      <c r="H144" s="2">
        <v>13230.648979591842</v>
      </c>
      <c r="I144" s="2">
        <f t="shared" si="2"/>
        <v>2.0215940559371153</v>
      </c>
    </row>
    <row r="145" spans="1:9" x14ac:dyDescent="0.35">
      <c r="A145" s="2" t="s">
        <v>428</v>
      </c>
      <c r="B145" s="2" t="s">
        <v>146</v>
      </c>
      <c r="C145" s="3" t="s">
        <v>147</v>
      </c>
      <c r="D145" s="3">
        <v>8.1385968132165407E-2</v>
      </c>
      <c r="E145" s="3">
        <v>0.36110546927845899</v>
      </c>
      <c r="F145" s="3" t="s">
        <v>427</v>
      </c>
      <c r="G145" s="2">
        <v>34791.975373134323</v>
      </c>
      <c r="H145" s="2">
        <v>17242.319508196717</v>
      </c>
      <c r="I145" s="2">
        <f t="shared" si="2"/>
        <v>2.0178245366926872</v>
      </c>
    </row>
    <row r="146" spans="1:9" x14ac:dyDescent="0.35">
      <c r="A146" s="2" t="s">
        <v>428</v>
      </c>
      <c r="B146" s="2" t="s">
        <v>264</v>
      </c>
      <c r="C146" s="3" t="s">
        <v>265</v>
      </c>
      <c r="D146" s="3">
        <v>0.120719323611958</v>
      </c>
      <c r="E146" s="3">
        <v>0.19480102010891001</v>
      </c>
      <c r="F146" s="3" t="s">
        <v>427</v>
      </c>
      <c r="G146" s="2">
        <v>23924.336964285718</v>
      </c>
      <c r="H146" s="2">
        <v>14838.977377049177</v>
      </c>
      <c r="I146" s="2">
        <f t="shared" si="2"/>
        <v>1.6122631874409676</v>
      </c>
    </row>
    <row r="147" spans="1:9" x14ac:dyDescent="0.35">
      <c r="A147" s="2" t="s">
        <v>428</v>
      </c>
      <c r="B147" s="2" t="s">
        <v>394</v>
      </c>
      <c r="C147" s="3" t="s">
        <v>395</v>
      </c>
      <c r="D147" s="3">
        <v>0.147361182826072</v>
      </c>
      <c r="E147" s="3">
        <v>6.5512713232299499E-2</v>
      </c>
      <c r="F147" s="3" t="s">
        <v>427</v>
      </c>
      <c r="G147" s="2">
        <v>208076.52278481008</v>
      </c>
      <c r="H147" s="2">
        <v>82612.764102564091</v>
      </c>
      <c r="I147" s="2">
        <f t="shared" si="2"/>
        <v>2.5186970203113188</v>
      </c>
    </row>
    <row r="148" spans="1:9" x14ac:dyDescent="0.35">
      <c r="A148" s="2" t="s">
        <v>428</v>
      </c>
      <c r="B148" s="2" t="s">
        <v>86</v>
      </c>
      <c r="C148" s="3" t="s">
        <v>87</v>
      </c>
      <c r="D148" s="3">
        <v>0.105851619242219</v>
      </c>
      <c r="E148" s="3">
        <v>0.25190328702242099</v>
      </c>
      <c r="F148" s="3" t="s">
        <v>427</v>
      </c>
      <c r="G148" s="2">
        <v>77192.173684210502</v>
      </c>
      <c r="H148" s="2">
        <v>34606.374516129028</v>
      </c>
      <c r="I148" s="2">
        <f t="shared" si="2"/>
        <v>2.2305767293893632</v>
      </c>
    </row>
    <row r="149" spans="1:9" x14ac:dyDescent="0.35">
      <c r="A149" s="2" t="s">
        <v>428</v>
      </c>
      <c r="B149" s="2" t="s">
        <v>318</v>
      </c>
      <c r="C149" s="3" t="s">
        <v>319</v>
      </c>
      <c r="D149" s="3">
        <v>8.8332797203714702E-2</v>
      </c>
      <c r="E149" s="3">
        <v>0.339428555065174</v>
      </c>
      <c r="F149" s="3" t="s">
        <v>427</v>
      </c>
      <c r="G149" s="2">
        <v>20398.235230769234</v>
      </c>
      <c r="H149" s="2">
        <v>13155.701851851851</v>
      </c>
      <c r="I149" s="2">
        <f t="shared" si="2"/>
        <v>1.5505242867675582</v>
      </c>
    </row>
    <row r="150" spans="1:9" x14ac:dyDescent="0.35">
      <c r="A150" s="2" t="s">
        <v>428</v>
      </c>
      <c r="B150" s="2" t="s">
        <v>248</v>
      </c>
      <c r="C150" s="3" t="s">
        <v>249</v>
      </c>
      <c r="D150" s="3">
        <v>0.121265781169204</v>
      </c>
      <c r="E150" s="3">
        <v>0.181514280286105</v>
      </c>
      <c r="F150" s="3" t="s">
        <v>427</v>
      </c>
      <c r="G150" s="2">
        <v>22123.740727272718</v>
      </c>
      <c r="H150" s="2">
        <v>11884.988235294111</v>
      </c>
      <c r="I150" s="2">
        <f t="shared" si="2"/>
        <v>1.8614861276490977</v>
      </c>
    </row>
    <row r="151" spans="1:9" x14ac:dyDescent="0.35">
      <c r="A151" s="2" t="s">
        <v>428</v>
      </c>
      <c r="B151" s="2" t="s">
        <v>98</v>
      </c>
      <c r="C151" s="3" t="s">
        <v>99</v>
      </c>
      <c r="D151" s="3">
        <v>8.99993252099935E-2</v>
      </c>
      <c r="E151" s="3">
        <v>0.25772530060288501</v>
      </c>
      <c r="F151" s="3" t="s">
        <v>427</v>
      </c>
      <c r="G151" s="2">
        <v>1500040.575</v>
      </c>
      <c r="H151" s="2">
        <v>686497.17500000005</v>
      </c>
      <c r="I151" s="2">
        <f t="shared" si="2"/>
        <v>2.1850644541982271</v>
      </c>
    </row>
    <row r="152" spans="1:9" x14ac:dyDescent="0.35">
      <c r="A152" s="2" t="s">
        <v>428</v>
      </c>
      <c r="B152" s="2" t="s">
        <v>312</v>
      </c>
      <c r="C152" s="3" t="s">
        <v>313</v>
      </c>
      <c r="D152" s="3">
        <v>4.8410829124108899E-2</v>
      </c>
      <c r="E152" s="3">
        <v>0.54324768284885705</v>
      </c>
      <c r="F152" s="3" t="s">
        <v>427</v>
      </c>
      <c r="G152" s="2">
        <v>1775480.1125</v>
      </c>
      <c r="H152" s="2">
        <v>1111901.675</v>
      </c>
      <c r="I152" s="2">
        <f t="shared" si="2"/>
        <v>1.5967959689421278</v>
      </c>
    </row>
    <row r="153" spans="1:9" x14ac:dyDescent="0.35">
      <c r="A153" s="2" t="s">
        <v>428</v>
      </c>
      <c r="B153" s="2" t="s">
        <v>330</v>
      </c>
      <c r="C153" s="3" t="s">
        <v>331</v>
      </c>
      <c r="D153" s="3">
        <v>-4.9808707048338702E-2</v>
      </c>
      <c r="E153" s="3">
        <v>0.53295895125123005</v>
      </c>
      <c r="F153" s="3" t="s">
        <v>427</v>
      </c>
      <c r="G153" s="2">
        <v>202416.38987341765</v>
      </c>
      <c r="H153" s="2">
        <v>123496.74375000002</v>
      </c>
      <c r="I153" s="2">
        <f t="shared" si="2"/>
        <v>1.6390423239270031</v>
      </c>
    </row>
    <row r="154" spans="1:9" x14ac:dyDescent="0.35">
      <c r="A154" s="2" t="s">
        <v>428</v>
      </c>
      <c r="B154" s="2" t="s">
        <v>370</v>
      </c>
      <c r="C154" s="3" t="s">
        <v>371</v>
      </c>
      <c r="D154" s="3">
        <v>0.15327213141372001</v>
      </c>
      <c r="E154" s="3">
        <v>7.0609679749299895E-2</v>
      </c>
      <c r="F154" s="3" t="s">
        <v>427</v>
      </c>
      <c r="G154" s="2">
        <v>47691.842424242408</v>
      </c>
      <c r="H154" s="2">
        <v>29873.188243243247</v>
      </c>
      <c r="I154" s="2">
        <f t="shared" si="2"/>
        <v>1.5964764803779994</v>
      </c>
    </row>
    <row r="155" spans="1:9" x14ac:dyDescent="0.35">
      <c r="A155" s="2" t="s">
        <v>428</v>
      </c>
      <c r="B155" s="2" t="s">
        <v>404</v>
      </c>
      <c r="C155" s="3" t="s">
        <v>405</v>
      </c>
      <c r="D155" s="3">
        <v>0.17384149664426601</v>
      </c>
      <c r="E155" s="3">
        <v>9.7463772047427205E-2</v>
      </c>
      <c r="F155" s="3" t="s">
        <v>427</v>
      </c>
      <c r="G155" s="2">
        <v>20631.381632653061</v>
      </c>
      <c r="H155" s="2">
        <v>10176.655348837208</v>
      </c>
      <c r="I155" s="2">
        <f t="shared" si="2"/>
        <v>2.0273243934718117</v>
      </c>
    </row>
    <row r="156" spans="1:9" x14ac:dyDescent="0.35">
      <c r="A156" s="2" t="s">
        <v>428</v>
      </c>
      <c r="B156" s="2" t="s">
        <v>348</v>
      </c>
      <c r="C156" s="3" t="s">
        <v>349</v>
      </c>
      <c r="D156" s="3">
        <v>9.7185722035876193E-2</v>
      </c>
      <c r="E156" s="3">
        <v>0.262137861106575</v>
      </c>
      <c r="F156" s="3" t="s">
        <v>427</v>
      </c>
      <c r="G156" s="2">
        <v>30164.702285714295</v>
      </c>
      <c r="H156" s="2">
        <v>15520.515384615383</v>
      </c>
      <c r="I156" s="2">
        <f t="shared" si="2"/>
        <v>1.9435374108526624</v>
      </c>
    </row>
    <row r="157" spans="1:9" x14ac:dyDescent="0.35">
      <c r="A157" s="2" t="s">
        <v>428</v>
      </c>
      <c r="B157" s="2" t="s">
        <v>196</v>
      </c>
      <c r="C157" s="3" t="s">
        <v>197</v>
      </c>
      <c r="D157" s="3">
        <v>0.105313429313</v>
      </c>
      <c r="E157" s="3">
        <v>0.20742609599259501</v>
      </c>
      <c r="F157" s="3" t="s">
        <v>427</v>
      </c>
      <c r="G157" s="2">
        <v>80614.282051282047</v>
      </c>
      <c r="H157" s="2">
        <v>43097.802985074639</v>
      </c>
      <c r="I157" s="2">
        <f t="shared" si="2"/>
        <v>1.8704963238891754</v>
      </c>
    </row>
    <row r="158" spans="1:9" x14ac:dyDescent="0.35">
      <c r="A158" s="2" t="s">
        <v>428</v>
      </c>
      <c r="B158" s="2" t="s">
        <v>376</v>
      </c>
      <c r="C158" s="3" t="s">
        <v>377</v>
      </c>
      <c r="D158" s="3">
        <v>2.1986949187753301E-2</v>
      </c>
      <c r="E158" s="3">
        <v>0.82047703805741001</v>
      </c>
      <c r="F158" s="3" t="s">
        <v>427</v>
      </c>
      <c r="G158" s="2">
        <v>32029.158813559319</v>
      </c>
      <c r="H158" s="2">
        <v>17007.841600000003</v>
      </c>
      <c r="I158" s="2">
        <f t="shared" si="2"/>
        <v>1.8831995009619158</v>
      </c>
    </row>
    <row r="159" spans="1:9" x14ac:dyDescent="0.35">
      <c r="A159" s="2" t="s">
        <v>428</v>
      </c>
      <c r="B159" s="2" t="s">
        <v>66</v>
      </c>
      <c r="C159" s="3" t="s">
        <v>67</v>
      </c>
      <c r="D159" s="3">
        <v>0.15216930729938499</v>
      </c>
      <c r="E159" s="3">
        <v>0.10448756552810699</v>
      </c>
      <c r="F159" s="3" t="s">
        <v>427</v>
      </c>
      <c r="G159" s="2">
        <v>34730.630153846163</v>
      </c>
      <c r="H159" s="2">
        <v>16073.528399999999</v>
      </c>
      <c r="I159" s="2">
        <f t="shared" si="2"/>
        <v>2.1607346744008096</v>
      </c>
    </row>
    <row r="160" spans="1:9" x14ac:dyDescent="0.35">
      <c r="A160" s="2" t="s">
        <v>428</v>
      </c>
      <c r="B160" s="2" t="s">
        <v>298</v>
      </c>
      <c r="C160" s="3" t="s">
        <v>299</v>
      </c>
      <c r="D160" s="3">
        <v>8.0285402775162801E-2</v>
      </c>
      <c r="E160" s="3">
        <v>0.31596774808966099</v>
      </c>
      <c r="F160" s="3" t="s">
        <v>427</v>
      </c>
      <c r="G160" s="2">
        <v>196874.9708860759</v>
      </c>
      <c r="H160" s="2">
        <v>120116.25443037975</v>
      </c>
      <c r="I160" s="2">
        <f t="shared" si="2"/>
        <v>1.6390368798936039</v>
      </c>
    </row>
    <row r="161" spans="1:9" x14ac:dyDescent="0.35">
      <c r="A161" s="2" t="s">
        <v>428</v>
      </c>
      <c r="B161" s="2" t="s">
        <v>26</v>
      </c>
      <c r="C161" s="3" t="s">
        <v>27</v>
      </c>
      <c r="D161" s="3">
        <v>8.1659509984416304E-2</v>
      </c>
      <c r="E161" s="3">
        <v>0.32715918504868402</v>
      </c>
      <c r="F161" s="3" t="s">
        <v>427</v>
      </c>
      <c r="G161" s="2">
        <v>67356.736133333325</v>
      </c>
      <c r="H161" s="2">
        <v>27563.819154929577</v>
      </c>
      <c r="I161" s="2">
        <f t="shared" si="2"/>
        <v>2.4436648548133828</v>
      </c>
    </row>
    <row r="162" spans="1:9" x14ac:dyDescent="0.35">
      <c r="A162" s="2" t="s">
        <v>428</v>
      </c>
      <c r="B162" s="2" t="s">
        <v>168</v>
      </c>
      <c r="C162" s="3" t="s">
        <v>169</v>
      </c>
      <c r="D162" s="3">
        <v>5.1290496294593098E-2</v>
      </c>
      <c r="E162" s="3">
        <v>0.62536603966701698</v>
      </c>
      <c r="F162" s="3" t="s">
        <v>427</v>
      </c>
      <c r="G162" s="2">
        <v>28347.488571428581</v>
      </c>
      <c r="H162" s="2">
        <v>14295.931363636364</v>
      </c>
      <c r="I162" s="2">
        <f t="shared" si="2"/>
        <v>1.9829060346172516</v>
      </c>
    </row>
    <row r="163" spans="1:9" x14ac:dyDescent="0.35">
      <c r="A163" s="2" t="s">
        <v>428</v>
      </c>
      <c r="B163" s="2" t="s">
        <v>374</v>
      </c>
      <c r="C163" s="3" t="s">
        <v>375</v>
      </c>
      <c r="D163" s="3">
        <v>0.12101348569598799</v>
      </c>
      <c r="E163" s="3">
        <v>0.13236573042234101</v>
      </c>
      <c r="F163" s="3" t="s">
        <v>427</v>
      </c>
      <c r="G163" s="2">
        <v>55884.37230769232</v>
      </c>
      <c r="H163" s="2">
        <v>30924.319358974353</v>
      </c>
      <c r="I163" s="2">
        <f t="shared" si="2"/>
        <v>1.8071334621460138</v>
      </c>
    </row>
    <row r="164" spans="1:9" x14ac:dyDescent="0.35">
      <c r="A164" s="2" t="s">
        <v>428</v>
      </c>
      <c r="B164" s="2" t="s">
        <v>212</v>
      </c>
      <c r="C164" s="3" t="s">
        <v>213</v>
      </c>
      <c r="D164" s="3">
        <v>2.1444572116423099E-2</v>
      </c>
      <c r="E164" s="3">
        <v>0.81012464056275801</v>
      </c>
      <c r="F164" s="3" t="s">
        <v>427</v>
      </c>
      <c r="G164" s="2">
        <v>34037.608545454539</v>
      </c>
      <c r="H164" s="2">
        <v>17839.47150684931</v>
      </c>
      <c r="I164" s="2">
        <f t="shared" si="2"/>
        <v>1.9079942212630063</v>
      </c>
    </row>
    <row r="165" spans="1:9" x14ac:dyDescent="0.35">
      <c r="A165" s="2" t="s">
        <v>428</v>
      </c>
      <c r="B165" s="2" t="s">
        <v>420</v>
      </c>
      <c r="C165" s="3" t="s">
        <v>421</v>
      </c>
      <c r="D165" s="3">
        <v>7.0679542988999703E-3</v>
      </c>
      <c r="E165" s="3">
        <v>0.93997543903026404</v>
      </c>
      <c r="F165" s="3" t="s">
        <v>427</v>
      </c>
      <c r="G165" s="2">
        <v>11450.422727272728</v>
      </c>
      <c r="H165" s="2">
        <v>7559.8222950819654</v>
      </c>
      <c r="I165" s="2">
        <f t="shared" si="2"/>
        <v>1.5146417839374067</v>
      </c>
    </row>
    <row r="166" spans="1:9" x14ac:dyDescent="0.35">
      <c r="A166" s="2" t="s">
        <v>428</v>
      </c>
      <c r="B166" s="2" t="s">
        <v>412</v>
      </c>
      <c r="C166" s="3" t="s">
        <v>413</v>
      </c>
      <c r="D166" s="3">
        <v>0.10114433561012499</v>
      </c>
      <c r="E166" s="3">
        <v>0.36291207301480899</v>
      </c>
      <c r="F166" s="3" t="s">
        <v>427</v>
      </c>
      <c r="G166" s="2">
        <v>31606.938048780492</v>
      </c>
      <c r="H166" s="2">
        <v>18247.05428571429</v>
      </c>
      <c r="I166" s="2">
        <f t="shared" si="2"/>
        <v>1.7321666036542525</v>
      </c>
    </row>
    <row r="167" spans="1:9" x14ac:dyDescent="0.35">
      <c r="A167" s="2" t="s">
        <v>428</v>
      </c>
      <c r="B167" s="2" t="s">
        <v>230</v>
      </c>
      <c r="C167" s="3" t="s">
        <v>231</v>
      </c>
      <c r="D167" s="3">
        <v>0.131209013025153</v>
      </c>
      <c r="E167" s="3">
        <v>0.103660755912673</v>
      </c>
      <c r="F167" s="3" t="s">
        <v>427</v>
      </c>
      <c r="G167" s="2">
        <v>25368.354736842102</v>
      </c>
      <c r="H167" s="2">
        <v>14262.796582278483</v>
      </c>
      <c r="I167" s="2">
        <f t="shared" si="2"/>
        <v>1.7786381927624397</v>
      </c>
    </row>
    <row r="168" spans="1:9" x14ac:dyDescent="0.35">
      <c r="A168" s="2" t="s">
        <v>428</v>
      </c>
      <c r="B168" s="2" t="s">
        <v>262</v>
      </c>
      <c r="C168" s="3" t="s">
        <v>263</v>
      </c>
      <c r="D168" s="3">
        <v>0.13500479110925201</v>
      </c>
      <c r="E168" s="3">
        <v>0.101844401499746</v>
      </c>
      <c r="F168" s="3" t="s">
        <v>427</v>
      </c>
      <c r="G168" s="2">
        <v>39904.428666666681</v>
      </c>
      <c r="H168" s="2">
        <v>23584.6005479452</v>
      </c>
      <c r="I168" s="2">
        <f t="shared" si="2"/>
        <v>1.6919696640841917</v>
      </c>
    </row>
    <row r="169" spans="1:9" x14ac:dyDescent="0.35">
      <c r="A169" s="2" t="s">
        <v>428</v>
      </c>
      <c r="B169" s="2" t="s">
        <v>64</v>
      </c>
      <c r="C169" s="3" t="s">
        <v>65</v>
      </c>
      <c r="D169" s="3">
        <v>0.159242983504368</v>
      </c>
      <c r="E169" s="3">
        <v>7.6089350271109496E-2</v>
      </c>
      <c r="F169" s="3" t="s">
        <v>427</v>
      </c>
      <c r="G169" s="2">
        <v>26356.743728813573</v>
      </c>
      <c r="H169" s="2">
        <v>10642.989848484851</v>
      </c>
      <c r="I169" s="2">
        <f t="shared" si="2"/>
        <v>2.4764416864088008</v>
      </c>
    </row>
    <row r="170" spans="1:9" x14ac:dyDescent="0.35">
      <c r="A170" s="2" t="s">
        <v>428</v>
      </c>
      <c r="B170" s="2" t="s">
        <v>232</v>
      </c>
      <c r="C170" s="3" t="s">
        <v>233</v>
      </c>
      <c r="D170" s="3">
        <v>0.185301129097175</v>
      </c>
      <c r="E170" s="3">
        <v>6.4930924468750498E-2</v>
      </c>
      <c r="F170" s="3" t="s">
        <v>427</v>
      </c>
      <c r="G170" s="2">
        <v>14734.611929824559</v>
      </c>
      <c r="H170" s="2">
        <v>8244.8662790697672</v>
      </c>
      <c r="I170" s="2">
        <f t="shared" si="2"/>
        <v>1.7871256405006246</v>
      </c>
    </row>
    <row r="171" spans="1:9" x14ac:dyDescent="0.35">
      <c r="A171" s="2" t="s">
        <v>428</v>
      </c>
      <c r="B171" s="2" t="s">
        <v>246</v>
      </c>
      <c r="C171" s="3" t="s">
        <v>247</v>
      </c>
      <c r="D171" s="3">
        <v>4.6568484803764701E-2</v>
      </c>
      <c r="E171" s="3">
        <v>0.59737509800953004</v>
      </c>
      <c r="F171" s="3" t="s">
        <v>427</v>
      </c>
      <c r="G171" s="2">
        <v>74060.587183098614</v>
      </c>
      <c r="H171" s="2">
        <v>39290.142166666657</v>
      </c>
      <c r="I171" s="2">
        <f t="shared" si="2"/>
        <v>1.8849661288813262</v>
      </c>
    </row>
    <row r="172" spans="1:9" x14ac:dyDescent="0.35">
      <c r="A172" s="2" t="s">
        <v>428</v>
      </c>
      <c r="B172" s="2" t="s">
        <v>410</v>
      </c>
      <c r="C172" s="3" t="s">
        <v>411</v>
      </c>
      <c r="D172" s="3">
        <v>4.3639807493332801E-2</v>
      </c>
      <c r="E172" s="3">
        <v>0.67289278678236697</v>
      </c>
      <c r="F172" s="3" t="s">
        <v>427</v>
      </c>
      <c r="G172" s="2">
        <v>21340.215384615378</v>
      </c>
      <c r="H172" s="2">
        <v>11793.56068181818</v>
      </c>
      <c r="I172" s="2">
        <f t="shared" si="2"/>
        <v>1.8094802715107934</v>
      </c>
    </row>
    <row r="173" spans="1:9" x14ac:dyDescent="0.35">
      <c r="A173" s="2" t="s">
        <v>428</v>
      </c>
      <c r="B173" s="2" t="s">
        <v>166</v>
      </c>
      <c r="C173" s="3" t="s">
        <v>167</v>
      </c>
      <c r="D173" s="3">
        <v>0.15000205544961001</v>
      </c>
      <c r="E173" s="3">
        <v>9.3642737275573595E-2</v>
      </c>
      <c r="F173" s="3" t="s">
        <v>427</v>
      </c>
      <c r="G173" s="2">
        <v>30412.80777777778</v>
      </c>
      <c r="H173" s="2">
        <v>16244.551428571433</v>
      </c>
      <c r="I173" s="2">
        <f t="shared" si="2"/>
        <v>1.872185139214541</v>
      </c>
    </row>
    <row r="174" spans="1:9" x14ac:dyDescent="0.35">
      <c r="A174" s="2" t="s">
        <v>428</v>
      </c>
      <c r="B174" s="2" t="s">
        <v>54</v>
      </c>
      <c r="C174" s="3" t="s">
        <v>55</v>
      </c>
      <c r="D174" s="3">
        <v>0.153075839116665</v>
      </c>
      <c r="E174" s="3">
        <v>5.7226738925056003E-2</v>
      </c>
      <c r="F174" s="3" t="s">
        <v>427</v>
      </c>
      <c r="G174" s="2">
        <v>275132.17820512824</v>
      </c>
      <c r="H174" s="2">
        <v>111363.55714285714</v>
      </c>
      <c r="I174" s="2">
        <f t="shared" si="2"/>
        <v>2.4705764189283999</v>
      </c>
    </row>
    <row r="175" spans="1:9" x14ac:dyDescent="0.35">
      <c r="A175" s="2" t="s">
        <v>428</v>
      </c>
      <c r="B175" s="2" t="s">
        <v>356</v>
      </c>
      <c r="C175" s="3" t="s">
        <v>357</v>
      </c>
      <c r="D175" s="3">
        <v>0.16082340606717199</v>
      </c>
      <c r="E175" s="3">
        <v>7.4366778995440405E-2</v>
      </c>
      <c r="F175" s="3" t="s">
        <v>427</v>
      </c>
      <c r="G175" s="2">
        <v>41493.569866666679</v>
      </c>
      <c r="H175" s="2">
        <v>20726.766530612236</v>
      </c>
      <c r="I175" s="2">
        <f t="shared" si="2"/>
        <v>2.0019316474368094</v>
      </c>
    </row>
    <row r="176" spans="1:9" x14ac:dyDescent="0.35">
      <c r="A176" s="2" t="s">
        <v>428</v>
      </c>
      <c r="B176" s="2" t="s">
        <v>386</v>
      </c>
      <c r="C176" s="3" t="s">
        <v>387</v>
      </c>
      <c r="D176" s="3">
        <v>9.9583652517941407E-2</v>
      </c>
      <c r="E176" s="3">
        <v>0.31451830158281102</v>
      </c>
      <c r="F176" s="3" t="s">
        <v>427</v>
      </c>
      <c r="G176" s="2">
        <v>36050.432950819661</v>
      </c>
      <c r="H176" s="2">
        <v>12314.203953488373</v>
      </c>
      <c r="I176" s="2">
        <f t="shared" si="2"/>
        <v>2.9275487954385615</v>
      </c>
    </row>
    <row r="177" spans="1:9" x14ac:dyDescent="0.35">
      <c r="A177" s="2" t="s">
        <v>428</v>
      </c>
      <c r="B177" s="2" t="s">
        <v>418</v>
      </c>
      <c r="C177" s="3" t="s">
        <v>419</v>
      </c>
      <c r="D177" s="3">
        <v>0.174912959848012</v>
      </c>
      <c r="E177" s="3">
        <v>9.5385205475278304E-2</v>
      </c>
      <c r="F177" s="3" t="s">
        <v>427</v>
      </c>
      <c r="G177" s="2">
        <v>12041.755348837212</v>
      </c>
      <c r="H177" s="2">
        <v>7706.2659183673486</v>
      </c>
      <c r="I177" s="2">
        <f t="shared" si="2"/>
        <v>1.5625927623567371</v>
      </c>
    </row>
    <row r="178" spans="1:9" x14ac:dyDescent="0.35">
      <c r="A178" s="2" t="s">
        <v>428</v>
      </c>
      <c r="B178" s="2" t="s">
        <v>204</v>
      </c>
      <c r="C178" s="3" t="s">
        <v>205</v>
      </c>
      <c r="D178" s="3">
        <v>6.7995151476434895E-2</v>
      </c>
      <c r="E178" s="3">
        <v>0.47225108964901202</v>
      </c>
      <c r="F178" s="3" t="s">
        <v>427</v>
      </c>
      <c r="G178" s="2">
        <v>30279.543833333337</v>
      </c>
      <c r="H178" s="2">
        <v>16135.310925925927</v>
      </c>
      <c r="I178" s="2">
        <f t="shared" si="2"/>
        <v>1.8766011992170979</v>
      </c>
    </row>
    <row r="179" spans="1:9" x14ac:dyDescent="0.35">
      <c r="A179" s="2" t="s">
        <v>428</v>
      </c>
      <c r="B179" s="2" t="s">
        <v>260</v>
      </c>
      <c r="C179" s="3" t="s">
        <v>261</v>
      </c>
      <c r="D179" s="3">
        <v>4.9653788057938998E-2</v>
      </c>
      <c r="E179" s="3">
        <v>0.53293203956429303</v>
      </c>
      <c r="F179" s="3" t="s">
        <v>427</v>
      </c>
      <c r="G179" s="2">
        <v>662276.01249999995</v>
      </c>
      <c r="H179" s="2">
        <v>410286.30249999999</v>
      </c>
      <c r="I179" s="2">
        <f t="shared" si="2"/>
        <v>1.6141801675185097</v>
      </c>
    </row>
    <row r="180" spans="1:9" x14ac:dyDescent="0.35">
      <c r="A180" s="2" t="s">
        <v>428</v>
      </c>
      <c r="B180" s="2" t="s">
        <v>48</v>
      </c>
      <c r="C180" s="3" t="s">
        <v>49</v>
      </c>
      <c r="D180" s="3">
        <v>0.101847371806345</v>
      </c>
      <c r="E180" s="3">
        <v>0.25646170894287701</v>
      </c>
      <c r="F180" s="3" t="s">
        <v>427</v>
      </c>
      <c r="G180" s="2">
        <v>51318.034027777772</v>
      </c>
      <c r="H180" s="2">
        <v>19878.842777777772</v>
      </c>
      <c r="I180" s="2">
        <f t="shared" si="2"/>
        <v>2.5815403140642244</v>
      </c>
    </row>
    <row r="181" spans="1:9" x14ac:dyDescent="0.35">
      <c r="A181" s="2" t="s">
        <v>428</v>
      </c>
      <c r="B181" s="2" t="s">
        <v>40</v>
      </c>
      <c r="C181" s="3" t="s">
        <v>41</v>
      </c>
      <c r="D181" s="3">
        <v>7.6231476047868105E-2</v>
      </c>
      <c r="E181" s="3">
        <v>0.34110085160502701</v>
      </c>
      <c r="F181" s="3" t="s">
        <v>427</v>
      </c>
      <c r="G181" s="2">
        <v>91900.234177215229</v>
      </c>
      <c r="H181" s="2">
        <v>39635.753164556962</v>
      </c>
      <c r="I181" s="2">
        <f t="shared" si="2"/>
        <v>2.3186196007344742</v>
      </c>
    </row>
    <row r="182" spans="1:9" x14ac:dyDescent="0.35">
      <c r="A182" s="2" t="s">
        <v>428</v>
      </c>
      <c r="B182" s="2" t="s">
        <v>228</v>
      </c>
      <c r="C182" s="3" t="s">
        <v>229</v>
      </c>
      <c r="D182" s="3">
        <v>0.16040762867199901</v>
      </c>
      <c r="E182" s="3">
        <v>6.0188272771652403E-2</v>
      </c>
      <c r="F182" s="3" t="s">
        <v>427</v>
      </c>
      <c r="G182" s="2">
        <v>71109.128225806431</v>
      </c>
      <c r="H182" s="2">
        <v>39212.166315789465</v>
      </c>
      <c r="I182" s="2">
        <f t="shared" si="2"/>
        <v>1.8134455427210889</v>
      </c>
    </row>
    <row r="183" spans="1:9" x14ac:dyDescent="0.35">
      <c r="A183" s="2" t="s">
        <v>428</v>
      </c>
      <c r="B183" s="2" t="s">
        <v>274</v>
      </c>
      <c r="C183" s="3" t="s">
        <v>275</v>
      </c>
      <c r="D183" s="3">
        <v>3.9878877245374499E-2</v>
      </c>
      <c r="E183" s="3">
        <v>0.61659884485608896</v>
      </c>
      <c r="F183" s="3" t="s">
        <v>427</v>
      </c>
      <c r="G183" s="2">
        <v>2154272.5</v>
      </c>
      <c r="H183" s="2">
        <v>1285584.9375</v>
      </c>
      <c r="I183" s="2">
        <f t="shared" si="2"/>
        <v>1.6757138615743932</v>
      </c>
    </row>
    <row r="184" spans="1:9" x14ac:dyDescent="0.35">
      <c r="A184" s="2" t="s">
        <v>428</v>
      </c>
      <c r="B184" s="2" t="s">
        <v>102</v>
      </c>
      <c r="C184" s="3" t="s">
        <v>103</v>
      </c>
      <c r="D184" s="3">
        <v>0.150653818368057</v>
      </c>
      <c r="E184" s="3">
        <v>6.3051739580049296E-2</v>
      </c>
      <c r="F184" s="3" t="s">
        <v>427</v>
      </c>
      <c r="G184" s="2">
        <v>119412.06410256412</v>
      </c>
      <c r="H184" s="2">
        <v>52614.503733333324</v>
      </c>
      <c r="I184" s="2">
        <f t="shared" si="2"/>
        <v>2.2695655309756719</v>
      </c>
    </row>
    <row r="185" spans="1:9" x14ac:dyDescent="0.35">
      <c r="A185" s="2" t="s">
        <v>428</v>
      </c>
      <c r="B185" s="2" t="s">
        <v>42</v>
      </c>
      <c r="C185" s="3" t="s">
        <v>43</v>
      </c>
      <c r="D185" s="3">
        <v>0.15161055651695099</v>
      </c>
      <c r="E185" s="3">
        <v>5.6430643752453803E-2</v>
      </c>
      <c r="F185" s="3" t="s">
        <v>427</v>
      </c>
      <c r="G185" s="2">
        <v>297535.43875000003</v>
      </c>
      <c r="H185" s="2">
        <v>113234.38746835443</v>
      </c>
      <c r="I185" s="2">
        <f t="shared" si="2"/>
        <v>2.627606731507707</v>
      </c>
    </row>
    <row r="186" spans="1:9" x14ac:dyDescent="0.35">
      <c r="A186" s="2" t="s">
        <v>428</v>
      </c>
      <c r="B186" s="2" t="s">
        <v>296</v>
      </c>
      <c r="C186" s="3" t="s">
        <v>297</v>
      </c>
      <c r="D186" s="3">
        <v>0.12934794577511</v>
      </c>
      <c r="E186" s="3">
        <v>0.16090838251534501</v>
      </c>
      <c r="F186" s="3" t="s">
        <v>427</v>
      </c>
      <c r="G186" s="2">
        <v>75554.26999999999</v>
      </c>
      <c r="H186" s="2">
        <v>49511.428813559316</v>
      </c>
      <c r="I186" s="2">
        <f t="shared" si="2"/>
        <v>1.5259965589865692</v>
      </c>
    </row>
    <row r="187" spans="1:9" x14ac:dyDescent="0.35">
      <c r="A187" s="2" t="s">
        <v>428</v>
      </c>
      <c r="B187" s="2" t="s">
        <v>406</v>
      </c>
      <c r="C187" s="3" t="s">
        <v>407</v>
      </c>
      <c r="D187" s="3">
        <v>0.16511044153058599</v>
      </c>
      <c r="E187" s="3">
        <v>0.100665888751736</v>
      </c>
      <c r="F187" s="3" t="s">
        <v>427</v>
      </c>
      <c r="G187" s="2">
        <v>9444.0959574468106</v>
      </c>
      <c r="H187" s="2">
        <v>4660.1837735849049</v>
      </c>
      <c r="I187" s="2">
        <f t="shared" si="2"/>
        <v>2.0265501139629567</v>
      </c>
    </row>
    <row r="188" spans="1:9" x14ac:dyDescent="0.35">
      <c r="A188" s="2" t="s">
        <v>428</v>
      </c>
      <c r="B188" s="2" t="s">
        <v>110</v>
      </c>
      <c r="C188" s="3" t="s">
        <v>111</v>
      </c>
      <c r="D188" s="3">
        <v>3.0369581033782001E-2</v>
      </c>
      <c r="E188" s="3">
        <v>0.70303693111020904</v>
      </c>
      <c r="F188" s="3" t="s">
        <v>427</v>
      </c>
      <c r="G188" s="2">
        <v>225743.563375</v>
      </c>
      <c r="H188" s="2">
        <v>89098.806499999992</v>
      </c>
      <c r="I188" s="2">
        <f t="shared" si="2"/>
        <v>2.5336317313633154</v>
      </c>
    </row>
    <row r="189" spans="1:9" x14ac:dyDescent="0.35">
      <c r="A189" s="2" t="s">
        <v>428</v>
      </c>
      <c r="B189" s="2" t="s">
        <v>268</v>
      </c>
      <c r="C189" s="3" t="s">
        <v>269</v>
      </c>
      <c r="D189" s="3">
        <v>4.65324496255227E-2</v>
      </c>
      <c r="E189" s="3">
        <v>0.55902136036794203</v>
      </c>
      <c r="F189" s="3" t="s">
        <v>427</v>
      </c>
      <c r="G189" s="2">
        <v>6012061.7374999998</v>
      </c>
      <c r="H189" s="2">
        <v>3311532.7749999999</v>
      </c>
      <c r="I189" s="2">
        <f t="shared" si="2"/>
        <v>1.8154921439664748</v>
      </c>
    </row>
    <row r="190" spans="1:9" x14ac:dyDescent="0.35">
      <c r="A190" s="2" t="s">
        <v>428</v>
      </c>
      <c r="B190" s="2" t="s">
        <v>32</v>
      </c>
      <c r="C190" s="3" t="s">
        <v>33</v>
      </c>
      <c r="D190" s="3">
        <v>8.9855387406943502E-2</v>
      </c>
      <c r="E190" s="3">
        <v>0.28586161951899203</v>
      </c>
      <c r="F190" s="3" t="s">
        <v>427</v>
      </c>
      <c r="G190" s="2">
        <v>69481.409090909074</v>
      </c>
      <c r="H190" s="2">
        <v>29709.378333333334</v>
      </c>
      <c r="I190" s="2">
        <f t="shared" si="2"/>
        <v>2.3387028941279566</v>
      </c>
    </row>
    <row r="191" spans="1:9" x14ac:dyDescent="0.35">
      <c r="A191" s="2" t="s">
        <v>428</v>
      </c>
      <c r="B191" s="2" t="s">
        <v>106</v>
      </c>
      <c r="C191" s="3" t="s">
        <v>107</v>
      </c>
      <c r="D191" s="3">
        <v>0.15749604859869901</v>
      </c>
      <c r="E191" s="3">
        <v>7.1301125373330596E-2</v>
      </c>
      <c r="F191" s="3" t="s">
        <v>427</v>
      </c>
      <c r="G191" s="2">
        <v>58992.071911764688</v>
      </c>
      <c r="H191" s="2">
        <v>29611.004218749997</v>
      </c>
      <c r="I191" s="2">
        <f t="shared" si="2"/>
        <v>1.9922347609680287</v>
      </c>
    </row>
    <row r="192" spans="1:9" x14ac:dyDescent="0.35">
      <c r="A192" s="2" t="s">
        <v>428</v>
      </c>
      <c r="B192" s="2" t="s">
        <v>382</v>
      </c>
      <c r="C192" s="3" t="s">
        <v>383</v>
      </c>
      <c r="D192" s="3">
        <v>9.5769487971285497E-2</v>
      </c>
      <c r="E192" s="3">
        <v>0.328785482443407</v>
      </c>
      <c r="F192" s="3" t="s">
        <v>427</v>
      </c>
      <c r="G192" s="2">
        <v>29476.992857142865</v>
      </c>
      <c r="H192" s="2">
        <v>14621.884561403509</v>
      </c>
      <c r="I192" s="2">
        <f t="shared" si="2"/>
        <v>2.0159503197659947</v>
      </c>
    </row>
    <row r="193" spans="1:9" x14ac:dyDescent="0.35">
      <c r="A193" s="2" t="s">
        <v>428</v>
      </c>
      <c r="B193" s="2" t="s">
        <v>320</v>
      </c>
      <c r="C193" s="3" t="s">
        <v>321</v>
      </c>
      <c r="D193" s="3">
        <v>9.4116186298557003E-2</v>
      </c>
      <c r="E193" s="3">
        <v>0.30655780422988599</v>
      </c>
      <c r="F193" s="3" t="s">
        <v>427</v>
      </c>
      <c r="G193" s="2">
        <v>36749.63966666667</v>
      </c>
      <c r="H193" s="2">
        <v>22917.065833333338</v>
      </c>
      <c r="I193" s="2">
        <f t="shared" si="2"/>
        <v>1.6035927083306438</v>
      </c>
    </row>
    <row r="194" spans="1:9" x14ac:dyDescent="0.35">
      <c r="A194" s="2" t="s">
        <v>428</v>
      </c>
      <c r="B194" s="2" t="s">
        <v>160</v>
      </c>
      <c r="C194" s="3" t="s">
        <v>161</v>
      </c>
      <c r="D194" s="3">
        <v>0.110290670133536</v>
      </c>
      <c r="E194" s="3">
        <v>0.18356815864985601</v>
      </c>
      <c r="F194" s="3" t="s">
        <v>427</v>
      </c>
      <c r="G194" s="2">
        <v>34539.365194805199</v>
      </c>
      <c r="H194" s="2">
        <v>18707.748428571427</v>
      </c>
      <c r="I194" s="2">
        <f t="shared" si="2"/>
        <v>1.84625987069908</v>
      </c>
    </row>
    <row r="195" spans="1:9" x14ac:dyDescent="0.35">
      <c r="A195" s="2" t="s">
        <v>428</v>
      </c>
      <c r="B195" s="2" t="s">
        <v>170</v>
      </c>
      <c r="C195" s="3" t="s">
        <v>171</v>
      </c>
      <c r="D195" s="3">
        <v>5.6015082195666102E-2</v>
      </c>
      <c r="E195" s="3">
        <v>0.52032037132570996</v>
      </c>
      <c r="F195" s="3" t="s">
        <v>427</v>
      </c>
      <c r="G195" s="2">
        <v>59966.01013888888</v>
      </c>
      <c r="H195" s="2">
        <v>32853.795645161314</v>
      </c>
      <c r="I195" s="2">
        <f t="shared" si="2"/>
        <v>1.8252384225723592</v>
      </c>
    </row>
    <row r="196" spans="1:9" x14ac:dyDescent="0.35">
      <c r="A196" s="2" t="s">
        <v>428</v>
      </c>
      <c r="B196" s="2" t="s">
        <v>112</v>
      </c>
      <c r="C196" s="3" t="s">
        <v>113</v>
      </c>
      <c r="D196" s="3">
        <v>0.13079964041901801</v>
      </c>
      <c r="E196" s="3">
        <v>0.147616895152309</v>
      </c>
      <c r="F196" s="3" t="s">
        <v>427</v>
      </c>
      <c r="G196" s="2">
        <v>20377.458709677412</v>
      </c>
      <c r="H196" s="2">
        <v>10422.316774193552</v>
      </c>
      <c r="I196" s="2">
        <f t="shared" ref="I196:I213" si="3">G196/H196</f>
        <v>1.9551755287397854</v>
      </c>
    </row>
    <row r="197" spans="1:9" x14ac:dyDescent="0.35">
      <c r="A197" s="2" t="s">
        <v>428</v>
      </c>
      <c r="B197" s="2" t="s">
        <v>332</v>
      </c>
      <c r="C197" s="3" t="s">
        <v>333</v>
      </c>
      <c r="D197" s="3">
        <v>9.7764272512771602E-2</v>
      </c>
      <c r="E197" s="3">
        <v>0.300755604629032</v>
      </c>
      <c r="F197" s="3" t="s">
        <v>427</v>
      </c>
      <c r="G197" s="2">
        <v>34010.729016393438</v>
      </c>
      <c r="H197" s="2">
        <v>17127.886415094345</v>
      </c>
      <c r="I197" s="2">
        <f t="shared" si="3"/>
        <v>1.9856932835811369</v>
      </c>
    </row>
    <row r="198" spans="1:9" x14ac:dyDescent="0.35">
      <c r="A198" s="2" t="s">
        <v>428</v>
      </c>
      <c r="B198" s="2" t="s">
        <v>360</v>
      </c>
      <c r="C198" s="3" t="s">
        <v>361</v>
      </c>
      <c r="D198" s="3">
        <v>0.14398318631551399</v>
      </c>
      <c r="E198" s="3">
        <v>7.2007038841200494E-2</v>
      </c>
      <c r="F198" s="3" t="s">
        <v>427</v>
      </c>
      <c r="G198" s="2">
        <v>47258.224050632918</v>
      </c>
      <c r="H198" s="2">
        <v>31180.18538461539</v>
      </c>
      <c r="I198" s="2">
        <f t="shared" si="3"/>
        <v>1.5156492326036839</v>
      </c>
    </row>
    <row r="199" spans="1:9" x14ac:dyDescent="0.35">
      <c r="A199" s="2" t="s">
        <v>428</v>
      </c>
      <c r="B199" s="2" t="s">
        <v>162</v>
      </c>
      <c r="C199" s="3" t="s">
        <v>163</v>
      </c>
      <c r="D199" s="3">
        <v>8.7631336514469596E-2</v>
      </c>
      <c r="E199" s="3">
        <v>0.283028983591604</v>
      </c>
      <c r="F199" s="3" t="s">
        <v>427</v>
      </c>
      <c r="G199" s="2">
        <v>76407.714102564074</v>
      </c>
      <c r="H199" s="2">
        <v>41714.165675675678</v>
      </c>
      <c r="I199" s="2">
        <f t="shared" si="3"/>
        <v>1.8316970473921972</v>
      </c>
    </row>
    <row r="200" spans="1:9" x14ac:dyDescent="0.35">
      <c r="A200" s="2" t="s">
        <v>428</v>
      </c>
      <c r="B200" s="2" t="s">
        <v>416</v>
      </c>
      <c r="C200" s="3" t="s">
        <v>417</v>
      </c>
      <c r="D200" s="3">
        <v>8.1477053795476401E-2</v>
      </c>
      <c r="E200" s="3">
        <v>0.42512585695655197</v>
      </c>
      <c r="F200" s="3" t="s">
        <v>427</v>
      </c>
      <c r="G200" s="2">
        <v>10860.39632653061</v>
      </c>
      <c r="H200" s="2">
        <v>6648.0187755102052</v>
      </c>
      <c r="I200" s="2">
        <f t="shared" si="3"/>
        <v>1.6336290093731156</v>
      </c>
    </row>
    <row r="201" spans="1:9" x14ac:dyDescent="0.35">
      <c r="A201" s="2" t="s">
        <v>428</v>
      </c>
      <c r="B201" s="2" t="s">
        <v>150</v>
      </c>
      <c r="C201" s="3" t="s">
        <v>151</v>
      </c>
      <c r="D201" s="3">
        <v>7.41203699731392E-2</v>
      </c>
      <c r="E201" s="3">
        <v>0.41136354295793698</v>
      </c>
      <c r="F201" s="3" t="s">
        <v>427</v>
      </c>
      <c r="G201" s="2">
        <v>32788.815238095238</v>
      </c>
      <c r="H201" s="2">
        <v>17703.890161290336</v>
      </c>
      <c r="I201" s="2">
        <f t="shared" si="3"/>
        <v>1.8520683838057346</v>
      </c>
    </row>
    <row r="202" spans="1:9" x14ac:dyDescent="0.35">
      <c r="A202" s="2" t="s">
        <v>428</v>
      </c>
      <c r="B202" s="2" t="s">
        <v>328</v>
      </c>
      <c r="C202" s="3" t="s">
        <v>329</v>
      </c>
      <c r="D202" s="3">
        <v>0.16773468417474299</v>
      </c>
      <c r="E202" s="3">
        <v>7.1897410147237606E-2</v>
      </c>
      <c r="F202" s="3" t="s">
        <v>427</v>
      </c>
      <c r="G202" s="2">
        <v>14994.237796610172</v>
      </c>
      <c r="H202" s="2">
        <v>9899.2333333333336</v>
      </c>
      <c r="I202" s="2">
        <f t="shared" si="3"/>
        <v>1.5146867733807843</v>
      </c>
    </row>
    <row r="203" spans="1:9" x14ac:dyDescent="0.35">
      <c r="A203" s="2" t="s">
        <v>428</v>
      </c>
      <c r="B203" s="2" t="s">
        <v>198</v>
      </c>
      <c r="C203" s="3" t="s">
        <v>199</v>
      </c>
      <c r="D203" s="3">
        <v>1.09652801133203E-2</v>
      </c>
      <c r="E203" s="3">
        <v>0.910746611340846</v>
      </c>
      <c r="F203" s="3" t="s">
        <v>427</v>
      </c>
      <c r="G203" s="2">
        <v>23626.885000000006</v>
      </c>
      <c r="H203" s="2">
        <v>13731.516530612249</v>
      </c>
      <c r="I203" s="2">
        <f t="shared" si="3"/>
        <v>1.7206318724758183</v>
      </c>
    </row>
    <row r="204" spans="1:9" x14ac:dyDescent="0.35">
      <c r="A204" s="2" t="s">
        <v>428</v>
      </c>
      <c r="B204" s="2" t="s">
        <v>278</v>
      </c>
      <c r="C204" s="3" t="s">
        <v>279</v>
      </c>
      <c r="D204" s="3">
        <v>0.11249159155400799</v>
      </c>
      <c r="E204" s="3">
        <v>0.169068800178831</v>
      </c>
      <c r="F204" s="3" t="s">
        <v>427</v>
      </c>
      <c r="G204" s="2">
        <v>240004.75092105259</v>
      </c>
      <c r="H204" s="2">
        <v>131195.22226666665</v>
      </c>
      <c r="I204" s="2">
        <f t="shared" si="3"/>
        <v>1.8293711217106696</v>
      </c>
    </row>
    <row r="205" spans="1:9" x14ac:dyDescent="0.35">
      <c r="A205" s="2" t="s">
        <v>428</v>
      </c>
      <c r="B205" s="2" t="s">
        <v>326</v>
      </c>
      <c r="C205" s="3" t="s">
        <v>327</v>
      </c>
      <c r="D205" s="3">
        <v>3.3248598052945499E-2</v>
      </c>
      <c r="E205" s="3">
        <v>0.67736904575757295</v>
      </c>
      <c r="F205" s="3" t="s">
        <v>427</v>
      </c>
      <c r="G205" s="2">
        <v>377849.96075949364</v>
      </c>
      <c r="H205" s="2">
        <v>248641.52624999997</v>
      </c>
      <c r="I205" s="2">
        <f t="shared" si="3"/>
        <v>1.5196575023416616</v>
      </c>
    </row>
    <row r="206" spans="1:9" x14ac:dyDescent="0.35">
      <c r="A206" s="2" t="s">
        <v>428</v>
      </c>
      <c r="B206" s="2" t="s">
        <v>174</v>
      </c>
      <c r="C206" s="3" t="s">
        <v>175</v>
      </c>
      <c r="D206" s="3">
        <v>8.2582997158813301E-2</v>
      </c>
      <c r="E206" s="3">
        <v>0.318350804770267</v>
      </c>
      <c r="F206" s="3" t="s">
        <v>427</v>
      </c>
      <c r="G206" s="2">
        <v>22809.803200000006</v>
      </c>
      <c r="H206" s="2">
        <v>12698.386301369859</v>
      </c>
      <c r="I206" s="2">
        <f t="shared" si="3"/>
        <v>1.7962757360389454</v>
      </c>
    </row>
    <row r="207" spans="1:9" x14ac:dyDescent="0.35">
      <c r="A207" s="2" t="s">
        <v>428</v>
      </c>
      <c r="B207" s="2" t="s">
        <v>216</v>
      </c>
      <c r="C207" s="3" t="s">
        <v>217</v>
      </c>
      <c r="D207" s="3">
        <v>8.9910689057166301E-2</v>
      </c>
      <c r="E207" s="3">
        <v>0.35476688897509501</v>
      </c>
      <c r="F207" s="3" t="s">
        <v>427</v>
      </c>
      <c r="G207" s="2">
        <v>26523.624545454546</v>
      </c>
      <c r="H207" s="2">
        <v>15842.676226415088</v>
      </c>
      <c r="I207" s="2">
        <f t="shared" si="3"/>
        <v>1.6741883862545088</v>
      </c>
    </row>
    <row r="208" spans="1:9" x14ac:dyDescent="0.35">
      <c r="A208" s="2" t="s">
        <v>428</v>
      </c>
      <c r="B208" s="2" t="s">
        <v>178</v>
      </c>
      <c r="C208" s="3" t="s">
        <v>179</v>
      </c>
      <c r="D208" s="3">
        <v>5.5724769296728802E-2</v>
      </c>
      <c r="E208" s="3">
        <v>0.48399839043731602</v>
      </c>
      <c r="F208" s="3" t="s">
        <v>427</v>
      </c>
      <c r="G208" s="2">
        <v>8322320.5625</v>
      </c>
      <c r="H208" s="2">
        <v>4646672.125</v>
      </c>
      <c r="I208" s="2">
        <f t="shared" si="3"/>
        <v>1.7910281462994335</v>
      </c>
    </row>
    <row r="209" spans="1:9" x14ac:dyDescent="0.35">
      <c r="A209" s="2" t="s">
        <v>428</v>
      </c>
      <c r="B209" s="2" t="s">
        <v>188</v>
      </c>
      <c r="C209" s="3" t="s">
        <v>189</v>
      </c>
      <c r="D209" s="3">
        <v>7.7351080758185503E-3</v>
      </c>
      <c r="E209" s="3">
        <v>0.92266561649593504</v>
      </c>
      <c r="F209" s="3" t="s">
        <v>427</v>
      </c>
      <c r="G209" s="2">
        <v>1338777.2</v>
      </c>
      <c r="H209" s="2">
        <v>770925.375</v>
      </c>
      <c r="I209" s="2">
        <f t="shared" si="3"/>
        <v>1.736584685644833</v>
      </c>
    </row>
    <row r="210" spans="1:9" x14ac:dyDescent="0.35">
      <c r="A210" s="2" t="s">
        <v>428</v>
      </c>
      <c r="B210" s="2" t="s">
        <v>46</v>
      </c>
      <c r="C210" s="3" t="s">
        <v>47</v>
      </c>
      <c r="D210" s="3">
        <v>6.8872921249839195E-2</v>
      </c>
      <c r="E210" s="3">
        <v>0.425612280207742</v>
      </c>
      <c r="F210" s="3" t="s">
        <v>427</v>
      </c>
      <c r="G210" s="2">
        <v>30307.032173913038</v>
      </c>
      <c r="H210" s="2">
        <v>14104.287164179106</v>
      </c>
      <c r="I210" s="2">
        <f t="shared" si="3"/>
        <v>2.1487815598993412</v>
      </c>
    </row>
    <row r="211" spans="1:9" x14ac:dyDescent="0.35">
      <c r="A211" s="2" t="s">
        <v>428</v>
      </c>
      <c r="B211" s="2" t="s">
        <v>378</v>
      </c>
      <c r="C211" s="3" t="s">
        <v>379</v>
      </c>
      <c r="D211" s="3">
        <v>1.1700842376669201E-2</v>
      </c>
      <c r="E211" s="3">
        <v>0.88661207884765103</v>
      </c>
      <c r="F211" s="3" t="s">
        <v>427</v>
      </c>
      <c r="G211" s="2">
        <v>85248.248051948045</v>
      </c>
      <c r="H211" s="2">
        <v>56826.292837837835</v>
      </c>
      <c r="I211" s="2">
        <f t="shared" si="3"/>
        <v>1.5001550126666969</v>
      </c>
    </row>
    <row r="212" spans="1:9" x14ac:dyDescent="0.35">
      <c r="A212" s="2" t="s">
        <v>428</v>
      </c>
      <c r="B212" s="2" t="s">
        <v>414</v>
      </c>
      <c r="C212" s="3" t="s">
        <v>415</v>
      </c>
      <c r="D212" s="3">
        <v>-6.1977782943336397E-2</v>
      </c>
      <c r="E212" s="3">
        <v>0.58016144829192995</v>
      </c>
      <c r="F212" s="3" t="s">
        <v>427</v>
      </c>
      <c r="G212" s="2">
        <v>10082.24463414634</v>
      </c>
      <c r="H212" s="2">
        <v>5949.2095121951215</v>
      </c>
      <c r="I212" s="2">
        <f t="shared" si="3"/>
        <v>1.6947200486852956</v>
      </c>
    </row>
    <row r="213" spans="1:9" x14ac:dyDescent="0.35">
      <c r="A213" s="2" t="s">
        <v>428</v>
      </c>
      <c r="B213" s="2" t="s">
        <v>164</v>
      </c>
      <c r="C213" s="3" t="s">
        <v>165</v>
      </c>
      <c r="D213" s="3">
        <v>5.3187569872629299E-2</v>
      </c>
      <c r="E213" s="3">
        <v>0.57238529624199097</v>
      </c>
      <c r="F213" s="3" t="s">
        <v>427</v>
      </c>
      <c r="G213" s="2">
        <v>23099.154923076934</v>
      </c>
      <c r="H213" s="2">
        <v>12831.017399999997</v>
      </c>
      <c r="I213" s="2">
        <f t="shared" si="3"/>
        <v>1.8002590288028866</v>
      </c>
    </row>
    <row r="214" spans="1:9" ht="60.5" customHeight="1" x14ac:dyDescent="0.35">
      <c r="A214" s="9" t="s">
        <v>435</v>
      </c>
      <c r="B214" s="10"/>
      <c r="C214" s="10"/>
      <c r="D214" s="10"/>
      <c r="E214" s="10"/>
      <c r="F214" s="10"/>
      <c r="G214" s="10"/>
      <c r="H214" s="10"/>
      <c r="I214" s="11"/>
    </row>
  </sheetData>
  <mergeCells count="2">
    <mergeCell ref="A1:I1"/>
    <mergeCell ref="A214:I2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PF X</cp:lastModifiedBy>
  <dcterms:created xsi:type="dcterms:W3CDTF">2024-04-10T10:48:56Z</dcterms:created>
  <dcterms:modified xsi:type="dcterms:W3CDTF">2025-09-15T16:19:56Z</dcterms:modified>
</cp:coreProperties>
</file>